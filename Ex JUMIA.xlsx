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OMQ89VA\Downloads\"/>
    </mc:Choice>
  </mc:AlternateContent>
  <bookViews>
    <workbookView xWindow="0" yWindow="0" windowWidth="19200" windowHeight="7050" firstSheet="18" activeTab="19"/>
  </bookViews>
  <sheets>
    <sheet name="Average current price,rating.." sheetId="3" r:id="rId1"/>
    <sheet name="Avg Rating,disc,disc category" sheetId="4" r:id="rId2"/>
    <sheet name="Products Distribution" sheetId="5" r:id="rId3"/>
    <sheet name="Rating.Reviews" sheetId="7" r:id="rId4"/>
    <sheet name="Discounts.customer Engagement" sheetId="8" r:id="rId5"/>
    <sheet name="expensive.least esxpensive" sheetId="9" r:id="rId6"/>
    <sheet name="Disc%.No of Reviews" sheetId="10" r:id="rId7"/>
    <sheet name="top highest discount" sheetId="11" r:id="rId8"/>
    <sheet name=" 10 top products most review" sheetId="12" r:id="rId9"/>
    <sheet name="Top5 highest rated" sheetId="13" r:id="rId10"/>
    <sheet name="Bottom 5 rated" sheetId="15" r:id="rId11"/>
    <sheet name="compare.high.low.disc" sheetId="16" r:id="rId12"/>
    <sheet name="total no of products" sheetId="18" r:id="rId13"/>
    <sheet name="Average Discount" sheetId="19" r:id="rId14"/>
    <sheet name="Average Rating " sheetId="20" r:id="rId15"/>
    <sheet name="total number of reviews" sheetId="21" r:id="rId16"/>
    <sheet name="Top Products by rating" sheetId="30" r:id="rId17"/>
    <sheet name="product.rating category" sheetId="31" r:id="rId18"/>
    <sheet name="Products.disc category" sheetId="32" r:id="rId19"/>
    <sheet name="jumia assign done" sheetId="1" r:id="rId20"/>
    <sheet name="Dashboard" sheetId="33" r:id="rId21"/>
    <sheet name="original Data" sheetId="2" r:id="rId22"/>
  </sheets>
  <definedNames>
    <definedName name="_xlnm._FilterDatabase" localSheetId="19" hidden="1">'jumia assign done'!$D$1:$D$115</definedName>
    <definedName name="Slicer_Discount_Category">#N/A</definedName>
    <definedName name="Slicer_Product">#N/A</definedName>
    <definedName name="Slicer_Product1">#N/A</definedName>
    <definedName name="Slicer_Rating_Category">#N/A</definedName>
  </definedNames>
  <calcPr calcId="162913"/>
  <pivotCaches>
    <pivotCache cacheId="66" r:id="rId23"/>
    <pivotCache cacheId="67" r:id="rId24"/>
    <pivotCache cacheId="68" r:id="rId25"/>
  </pivotCaches>
  <extLs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1" l="1"/>
  <c r="K2" i="1" l="1"/>
  <c r="I2" i="1"/>
  <c r="I91" i="1"/>
  <c r="G111" i="1" l="1"/>
  <c r="G112" i="1"/>
  <c r="G113" i="1"/>
  <c r="G114" i="1"/>
  <c r="G115" i="1"/>
  <c r="K80" i="1" l="1"/>
  <c r="K13" i="1"/>
  <c r="K36" i="1"/>
  <c r="K27" i="1"/>
  <c r="K5" i="1"/>
  <c r="K10" i="1"/>
  <c r="K61" i="1"/>
  <c r="K47" i="1"/>
  <c r="K35" i="1"/>
  <c r="K69" i="1"/>
  <c r="K59" i="1"/>
  <c r="K79" i="1"/>
  <c r="K83" i="1"/>
  <c r="K29" i="1"/>
  <c r="K93" i="1"/>
  <c r="K105" i="1"/>
  <c r="K18" i="1"/>
  <c r="K6" i="1"/>
  <c r="K58" i="1"/>
  <c r="K110" i="1"/>
  <c r="K22" i="1"/>
  <c r="K67" i="1"/>
  <c r="K33" i="1"/>
  <c r="K17" i="1"/>
  <c r="K89" i="1"/>
  <c r="K7" i="1"/>
  <c r="K45" i="1"/>
  <c r="K26" i="1"/>
  <c r="K12" i="1"/>
  <c r="K106" i="1"/>
  <c r="K62" i="1"/>
  <c r="K23" i="1"/>
  <c r="K20" i="1"/>
  <c r="K19" i="1"/>
  <c r="K34" i="1"/>
  <c r="K107" i="1"/>
  <c r="K90" i="1"/>
  <c r="K24" i="1"/>
  <c r="K9" i="1"/>
  <c r="K85" i="1"/>
  <c r="K100" i="1"/>
  <c r="K78" i="1"/>
  <c r="K15" i="1"/>
  <c r="K57" i="1"/>
  <c r="K51" i="1"/>
  <c r="K76" i="1"/>
  <c r="K49" i="1"/>
  <c r="K102" i="1"/>
  <c r="K96" i="1"/>
  <c r="K31" i="1"/>
  <c r="K97" i="1"/>
  <c r="K43" i="1"/>
  <c r="K70" i="1"/>
  <c r="K84" i="1"/>
  <c r="K74" i="1"/>
  <c r="K71" i="1"/>
  <c r="K8" i="1"/>
  <c r="K14" i="1"/>
  <c r="K86" i="1"/>
  <c r="K16" i="1"/>
  <c r="K88" i="1"/>
  <c r="K95" i="1"/>
  <c r="K48" i="1"/>
  <c r="K60" i="1"/>
  <c r="K56" i="1"/>
  <c r="K91" i="1"/>
  <c r="K11" i="1"/>
  <c r="K92" i="1"/>
  <c r="K82" i="1"/>
  <c r="K64" i="1"/>
  <c r="K37" i="1"/>
  <c r="K73" i="1"/>
  <c r="K75" i="1"/>
  <c r="K28" i="1"/>
  <c r="K101" i="1"/>
  <c r="K53" i="1"/>
  <c r="K63" i="1"/>
  <c r="K42" i="1"/>
  <c r="K30" i="1"/>
  <c r="K94" i="1"/>
  <c r="K40" i="1"/>
  <c r="K98" i="1"/>
  <c r="K72" i="1"/>
  <c r="K39" i="1"/>
  <c r="K77" i="1"/>
  <c r="K68" i="1"/>
  <c r="K46" i="1"/>
  <c r="K109" i="1"/>
  <c r="K66" i="1"/>
  <c r="K50" i="1"/>
  <c r="K38" i="1"/>
  <c r="K41" i="1"/>
  <c r="K99" i="1"/>
  <c r="K4" i="1"/>
  <c r="K81" i="1"/>
  <c r="K55" i="1"/>
  <c r="K3" i="1"/>
  <c r="K44" i="1"/>
  <c r="K21" i="1"/>
  <c r="K104" i="1"/>
  <c r="K54" i="1"/>
  <c r="K52" i="1"/>
  <c r="K32" i="1"/>
  <c r="K25" i="1"/>
  <c r="K103" i="1"/>
  <c r="K87" i="1"/>
  <c r="K108" i="1"/>
  <c r="K65" i="1"/>
  <c r="F80" i="1"/>
  <c r="F13" i="1"/>
  <c r="F36" i="1"/>
  <c r="F27" i="1"/>
  <c r="F5" i="1"/>
  <c r="F10" i="1"/>
  <c r="F61" i="1"/>
  <c r="F47" i="1"/>
  <c r="F35" i="1"/>
  <c r="F69" i="1"/>
  <c r="F59" i="1"/>
  <c r="F79" i="1"/>
  <c r="F83" i="1"/>
  <c r="F29" i="1"/>
  <c r="F93" i="1"/>
  <c r="F105" i="1"/>
  <c r="F18" i="1"/>
  <c r="F6" i="1"/>
  <c r="F58" i="1"/>
  <c r="F110" i="1"/>
  <c r="F22" i="1"/>
  <c r="F67" i="1"/>
  <c r="F33" i="1"/>
  <c r="F17" i="1"/>
  <c r="F89" i="1"/>
  <c r="F7" i="1"/>
  <c r="F45" i="1"/>
  <c r="F26" i="1"/>
  <c r="F12" i="1"/>
  <c r="F106" i="1"/>
  <c r="F62" i="1"/>
  <c r="F23" i="1"/>
  <c r="F20" i="1"/>
  <c r="F19" i="1"/>
  <c r="F34" i="1"/>
  <c r="F107" i="1"/>
  <c r="F90" i="1"/>
  <c r="F24" i="1"/>
  <c r="F9" i="1"/>
  <c r="F85" i="1"/>
  <c r="F100" i="1"/>
  <c r="F78" i="1"/>
  <c r="F15" i="1"/>
  <c r="F57" i="1"/>
  <c r="F51" i="1"/>
  <c r="F76" i="1"/>
  <c r="F49" i="1"/>
  <c r="F102" i="1"/>
  <c r="F96" i="1"/>
  <c r="F31" i="1"/>
  <c r="F97" i="1"/>
  <c r="F43" i="1"/>
  <c r="F70" i="1"/>
  <c r="F84" i="1"/>
  <c r="F74" i="1"/>
  <c r="F71" i="1"/>
  <c r="F8" i="1"/>
  <c r="F14" i="1"/>
  <c r="F86" i="1"/>
  <c r="F16" i="1"/>
  <c r="F88" i="1"/>
  <c r="F95" i="1"/>
  <c r="F48" i="1"/>
  <c r="F60" i="1"/>
  <c r="F56" i="1"/>
  <c r="F2" i="1"/>
  <c r="F91" i="1"/>
  <c r="F11" i="1"/>
  <c r="F92" i="1"/>
  <c r="F82" i="1"/>
  <c r="F64" i="1"/>
  <c r="F37" i="1"/>
  <c r="F73" i="1"/>
  <c r="F75" i="1"/>
  <c r="F28" i="1"/>
  <c r="F101" i="1"/>
  <c r="F53" i="1"/>
  <c r="F63" i="1"/>
  <c r="F42" i="1"/>
  <c r="F30" i="1"/>
  <c r="F94" i="1"/>
  <c r="F40" i="1"/>
  <c r="F98" i="1"/>
  <c r="F72" i="1"/>
  <c r="F39" i="1"/>
  <c r="F77" i="1"/>
  <c r="F68" i="1"/>
  <c r="F46" i="1"/>
  <c r="F109" i="1"/>
  <c r="F66" i="1"/>
  <c r="F50" i="1"/>
  <c r="F38" i="1"/>
  <c r="F41" i="1"/>
  <c r="F99" i="1"/>
  <c r="F4" i="1"/>
  <c r="F81" i="1"/>
  <c r="F55" i="1"/>
  <c r="F3" i="1"/>
  <c r="F44" i="1"/>
  <c r="F21" i="1"/>
  <c r="F104" i="1"/>
  <c r="F54" i="1"/>
  <c r="F52" i="1"/>
  <c r="F32" i="1"/>
  <c r="F25" i="1"/>
  <c r="F103" i="1"/>
  <c r="F87" i="1"/>
  <c r="F108" i="1"/>
  <c r="F65" i="1"/>
  <c r="D80" i="1"/>
  <c r="G80" i="1" s="1"/>
  <c r="D13" i="1"/>
  <c r="G13" i="1" s="1"/>
  <c r="D36" i="1"/>
  <c r="G36" i="1" s="1"/>
  <c r="D27" i="1"/>
  <c r="G27" i="1" s="1"/>
  <c r="D5" i="1"/>
  <c r="G5" i="1" s="1"/>
  <c r="D10" i="1"/>
  <c r="G10" i="1" s="1"/>
  <c r="D61" i="1"/>
  <c r="G61" i="1" s="1"/>
  <c r="D47" i="1"/>
  <c r="G47" i="1" s="1"/>
  <c r="D35" i="1"/>
  <c r="G35" i="1" s="1"/>
  <c r="D69" i="1"/>
  <c r="G69" i="1" s="1"/>
  <c r="D59" i="1"/>
  <c r="G59" i="1" s="1"/>
  <c r="D79" i="1"/>
  <c r="G79" i="1" s="1"/>
  <c r="D83" i="1"/>
  <c r="G83" i="1" s="1"/>
  <c r="D29" i="1"/>
  <c r="G29" i="1" s="1"/>
  <c r="D93" i="1"/>
  <c r="G93" i="1" s="1"/>
  <c r="D105" i="1"/>
  <c r="G105" i="1" s="1"/>
  <c r="D18" i="1"/>
  <c r="G18" i="1" s="1"/>
  <c r="D6" i="1"/>
  <c r="G6" i="1" s="1"/>
  <c r="D58" i="1"/>
  <c r="G58" i="1" s="1"/>
  <c r="D110" i="1"/>
  <c r="G110" i="1" s="1"/>
  <c r="D22" i="1"/>
  <c r="G22" i="1" s="1"/>
  <c r="D67" i="1"/>
  <c r="G67" i="1" s="1"/>
  <c r="D33" i="1"/>
  <c r="G33" i="1" s="1"/>
  <c r="D17" i="1"/>
  <c r="G17" i="1" s="1"/>
  <c r="D89" i="1"/>
  <c r="G89" i="1" s="1"/>
  <c r="D7" i="1"/>
  <c r="G7" i="1" s="1"/>
  <c r="D45" i="1"/>
  <c r="G45" i="1" s="1"/>
  <c r="D26" i="1"/>
  <c r="G26" i="1" s="1"/>
  <c r="D12" i="1"/>
  <c r="G12" i="1" s="1"/>
  <c r="D106" i="1"/>
  <c r="G106" i="1" s="1"/>
  <c r="D62" i="1"/>
  <c r="G62" i="1" s="1"/>
  <c r="D23" i="1"/>
  <c r="G23" i="1" s="1"/>
  <c r="D20" i="1"/>
  <c r="G20" i="1" s="1"/>
  <c r="D19" i="1"/>
  <c r="G19" i="1" s="1"/>
  <c r="D34" i="1"/>
  <c r="G34" i="1" s="1"/>
  <c r="D107" i="1"/>
  <c r="G107" i="1" s="1"/>
  <c r="D90" i="1"/>
  <c r="G90" i="1" s="1"/>
  <c r="D24" i="1"/>
  <c r="G24" i="1" s="1"/>
  <c r="D9" i="1"/>
  <c r="G9" i="1" s="1"/>
  <c r="D85" i="1"/>
  <c r="G85" i="1" s="1"/>
  <c r="D100" i="1"/>
  <c r="G100" i="1" s="1"/>
  <c r="D78" i="1"/>
  <c r="G78" i="1" s="1"/>
  <c r="D15" i="1"/>
  <c r="G15" i="1" s="1"/>
  <c r="D57" i="1"/>
  <c r="G57" i="1" s="1"/>
  <c r="D51" i="1"/>
  <c r="G51" i="1" s="1"/>
  <c r="D76" i="1"/>
  <c r="G76" i="1" s="1"/>
  <c r="D49" i="1"/>
  <c r="G49" i="1" s="1"/>
  <c r="D102" i="1"/>
  <c r="G102" i="1" s="1"/>
  <c r="D96" i="1"/>
  <c r="G96" i="1" s="1"/>
  <c r="D31" i="1"/>
  <c r="G31" i="1" s="1"/>
  <c r="D97" i="1"/>
  <c r="G97" i="1" s="1"/>
  <c r="D43" i="1"/>
  <c r="G43" i="1" s="1"/>
  <c r="D70" i="1"/>
  <c r="G70" i="1" s="1"/>
  <c r="D84" i="1"/>
  <c r="G84" i="1" s="1"/>
  <c r="D74" i="1"/>
  <c r="G74" i="1" s="1"/>
  <c r="D71" i="1"/>
  <c r="G71" i="1" s="1"/>
  <c r="D8" i="1"/>
  <c r="G8" i="1" s="1"/>
  <c r="D14" i="1"/>
  <c r="G14" i="1" s="1"/>
  <c r="D86" i="1"/>
  <c r="G86" i="1" s="1"/>
  <c r="D16" i="1"/>
  <c r="G16" i="1" s="1"/>
  <c r="D88" i="1"/>
  <c r="G88" i="1" s="1"/>
  <c r="D95" i="1"/>
  <c r="G95" i="1" s="1"/>
  <c r="D48" i="1"/>
  <c r="G48" i="1" s="1"/>
  <c r="D60" i="1"/>
  <c r="G60" i="1" s="1"/>
  <c r="D56" i="1"/>
  <c r="G56" i="1" s="1"/>
  <c r="D2" i="1"/>
  <c r="D91" i="1"/>
  <c r="G91" i="1" s="1"/>
  <c r="D11" i="1"/>
  <c r="G11" i="1" s="1"/>
  <c r="D92" i="1"/>
  <c r="G92" i="1" s="1"/>
  <c r="D82" i="1"/>
  <c r="G82" i="1" s="1"/>
  <c r="D64" i="1"/>
  <c r="G64" i="1" s="1"/>
  <c r="D37" i="1"/>
  <c r="G37" i="1" s="1"/>
  <c r="D73" i="1"/>
  <c r="G73" i="1" s="1"/>
  <c r="D75" i="1"/>
  <c r="G75" i="1" s="1"/>
  <c r="D28" i="1"/>
  <c r="G28" i="1" s="1"/>
  <c r="D101" i="1"/>
  <c r="G101" i="1" s="1"/>
  <c r="D53" i="1"/>
  <c r="G53" i="1" s="1"/>
  <c r="D63" i="1"/>
  <c r="G63" i="1" s="1"/>
  <c r="D42" i="1"/>
  <c r="G42" i="1" s="1"/>
  <c r="D30" i="1"/>
  <c r="G30" i="1" s="1"/>
  <c r="D94" i="1"/>
  <c r="G94" i="1" s="1"/>
  <c r="D40" i="1"/>
  <c r="G40" i="1" s="1"/>
  <c r="D98" i="1"/>
  <c r="G98" i="1" s="1"/>
  <c r="D72" i="1"/>
  <c r="G72" i="1" s="1"/>
  <c r="D39" i="1"/>
  <c r="G39" i="1" s="1"/>
  <c r="D77" i="1"/>
  <c r="G77" i="1" s="1"/>
  <c r="D68" i="1"/>
  <c r="G68" i="1" s="1"/>
  <c r="D46" i="1"/>
  <c r="G46" i="1" s="1"/>
  <c r="D109" i="1"/>
  <c r="G109" i="1" s="1"/>
  <c r="D66" i="1"/>
  <c r="G66" i="1" s="1"/>
  <c r="D50" i="1"/>
  <c r="G50" i="1" s="1"/>
  <c r="D38" i="1"/>
  <c r="G38" i="1" s="1"/>
  <c r="D41" i="1"/>
  <c r="G41" i="1" s="1"/>
  <c r="D99" i="1"/>
  <c r="G99" i="1" s="1"/>
  <c r="D4" i="1"/>
  <c r="G4" i="1" s="1"/>
  <c r="D81" i="1"/>
  <c r="G81" i="1" s="1"/>
  <c r="D55" i="1"/>
  <c r="G55" i="1" s="1"/>
  <c r="D3" i="1"/>
  <c r="D44" i="1"/>
  <c r="G44" i="1" s="1"/>
  <c r="D21" i="1"/>
  <c r="G21" i="1" s="1"/>
  <c r="D104" i="1"/>
  <c r="G104" i="1" s="1"/>
  <c r="D54" i="1"/>
  <c r="G54" i="1" s="1"/>
  <c r="D52" i="1"/>
  <c r="G52" i="1" s="1"/>
  <c r="D32" i="1"/>
  <c r="G32" i="1" s="1"/>
  <c r="D25" i="1"/>
  <c r="G25" i="1" s="1"/>
  <c r="D103" i="1"/>
  <c r="G103" i="1" s="1"/>
  <c r="D87" i="1"/>
  <c r="G87" i="1" s="1"/>
  <c r="D108" i="1"/>
  <c r="G108" i="1" s="1"/>
  <c r="D65" i="1"/>
  <c r="G65" i="1" s="1"/>
  <c r="I80" i="1"/>
  <c r="I13" i="1"/>
  <c r="I36" i="1"/>
  <c r="I27" i="1"/>
  <c r="I5" i="1"/>
  <c r="I10" i="1"/>
  <c r="I61" i="1"/>
  <c r="I47" i="1"/>
  <c r="I35" i="1"/>
  <c r="I69" i="1"/>
  <c r="I59" i="1"/>
  <c r="I79" i="1"/>
  <c r="I83" i="1"/>
  <c r="I29" i="1"/>
  <c r="I93" i="1"/>
  <c r="I105" i="1"/>
  <c r="I18" i="1"/>
  <c r="I6" i="1"/>
  <c r="I58" i="1"/>
  <c r="I110" i="1"/>
  <c r="I22" i="1"/>
  <c r="I67" i="1"/>
  <c r="I33" i="1"/>
  <c r="I17" i="1"/>
  <c r="I89" i="1"/>
  <c r="I7" i="1"/>
  <c r="I45" i="1"/>
  <c r="I26" i="1"/>
  <c r="I12" i="1"/>
  <c r="I106" i="1"/>
  <c r="I62" i="1"/>
  <c r="I23" i="1"/>
  <c r="I20" i="1"/>
  <c r="I19" i="1"/>
  <c r="I34" i="1"/>
  <c r="I107" i="1"/>
  <c r="I90" i="1"/>
  <c r="I24" i="1"/>
  <c r="I9" i="1"/>
  <c r="I85" i="1"/>
  <c r="I100" i="1"/>
  <c r="I78" i="1"/>
  <c r="I15" i="1"/>
  <c r="I57" i="1"/>
  <c r="I51" i="1"/>
  <c r="I76" i="1"/>
  <c r="I49" i="1"/>
  <c r="I102" i="1"/>
  <c r="I96" i="1"/>
  <c r="I31" i="1"/>
  <c r="I97" i="1"/>
  <c r="I43" i="1"/>
  <c r="I70" i="1"/>
  <c r="I84" i="1"/>
  <c r="I74" i="1"/>
  <c r="I71" i="1"/>
  <c r="I8" i="1"/>
  <c r="I14" i="1"/>
  <c r="I86" i="1"/>
  <c r="I16" i="1"/>
  <c r="I88" i="1"/>
  <c r="I95" i="1"/>
  <c r="I48" i="1"/>
  <c r="I60" i="1"/>
  <c r="I56" i="1"/>
  <c r="I11" i="1"/>
  <c r="I92" i="1"/>
  <c r="I82" i="1"/>
  <c r="I64" i="1"/>
  <c r="I37" i="1"/>
  <c r="I73" i="1"/>
  <c r="I75" i="1"/>
  <c r="I28" i="1"/>
  <c r="I101" i="1"/>
  <c r="I53" i="1"/>
  <c r="I63" i="1"/>
  <c r="I42" i="1"/>
  <c r="I30" i="1"/>
  <c r="I94" i="1"/>
  <c r="I40" i="1"/>
  <c r="I98" i="1"/>
  <c r="I72" i="1"/>
  <c r="I39" i="1"/>
  <c r="I77" i="1"/>
  <c r="I68" i="1"/>
  <c r="I46" i="1"/>
  <c r="I109" i="1"/>
  <c r="I66" i="1"/>
  <c r="I50" i="1"/>
  <c r="I38" i="1"/>
  <c r="I41" i="1"/>
  <c r="I99" i="1"/>
  <c r="I4" i="1"/>
  <c r="I81" i="1"/>
  <c r="I55" i="1"/>
  <c r="I3" i="1"/>
  <c r="I44" i="1"/>
  <c r="I21" i="1"/>
  <c r="I104" i="1"/>
  <c r="I54" i="1"/>
  <c r="I52" i="1"/>
  <c r="I32" i="1"/>
  <c r="I25" i="1"/>
  <c r="I103" i="1"/>
  <c r="I87" i="1"/>
  <c r="I108" i="1"/>
  <c r="I65" i="1"/>
</calcChain>
</file>

<file path=xl/sharedStrings.xml><?xml version="1.0" encoding="utf-8"?>
<sst xmlns="http://schemas.openxmlformats.org/spreadsheetml/2006/main" count="817" uniqueCount="355">
  <si>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</si>
  <si>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</si>
  <si>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</si>
  <si>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</si>
  <si>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</si>
  <si>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</si>
  <si>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</si>
  <si>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</si>
  <si>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</si>
  <si>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</si>
  <si>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</si>
  <si>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</si>
  <si>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</si>
  <si>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</si>
  <si>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</si>
  <si>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</si>
  <si>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</si>
  <si>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</si>
  <si>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</si>
  <si>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</si>
  <si>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</si>
  <si>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</si>
  <si>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</si>
  <si>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</si>
  <si>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</si>
  <si>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</si>
  <si>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</si>
  <si>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</si>
  <si>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</si>
  <si>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</si>
  <si>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</si>
  <si>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</si>
  <si>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</si>
  <si>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</si>
  <si>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</si>
  <si>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</si>
  <si>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</si>
  <si>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</si>
  <si>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</si>
  <si>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</si>
  <si>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</si>
  <si>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</si>
  <si>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</si>
  <si>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</si>
  <si>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</si>
  <si>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</si>
  <si>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</si>
  <si>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</si>
  <si>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</si>
  <si>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</si>
  <si>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</si>
  <si>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</si>
  <si>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</si>
  <si>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</si>
  <si>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</si>
  <si>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</si>
  <si>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</si>
  <si>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</si>
  <si>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</si>
  <si>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</si>
  <si>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</si>
  <si>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</si>
  <si>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</si>
  <si>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</si>
  <si>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</si>
  <si>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</si>
  <si>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</si>
  <si>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</si>
  <si>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</si>
  <si>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</si>
  <si>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</si>
  <si>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</si>
  <si>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</si>
  <si>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</si>
  <si>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</si>
  <si>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</si>
  <si>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</si>
  <si>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</si>
  <si>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</si>
  <si>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</si>
  <si>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</si>
  <si>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</si>
  <si>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</si>
  <si>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</si>
  <si>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</si>
  <si>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</si>
  <si>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</si>
  <si>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</si>
  <si>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</si>
  <si>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</si>
  <si>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</si>
  <si>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</si>
  <si>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</si>
  <si>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</si>
  <si>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</si>
  <si>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</si>
  <si>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</si>
  <si>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</si>
  <si>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</si>
  <si>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</si>
  <si>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</si>
  <si>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</si>
  <si>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</si>
  <si>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</si>
  <si>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</si>
  <si>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</si>
  <si>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</si>
  <si>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</si>
  <si>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</si>
  <si>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</si>
  <si>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</si>
  <si>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</si>
  <si>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</si>
  <si>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</si>
  <si>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</si>
  <si>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</si>
  <si>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</si>
  <si>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</si>
  <si>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</si>
  <si>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</si>
  <si>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</si>
  <si>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</si>
  <si>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</si>
  <si>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</si>
  <si>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</si>
  <si>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</si>
  <si>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</si>
  <si>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</si>
  <si>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</si>
  <si>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</si>
  <si>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</si>
  <si>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</si>
  <si>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</si>
  <si>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</si>
  <si>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</si>
  <si>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</si>
  <si>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</si>
  <si>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</si>
  <si>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</si>
  <si>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</si>
  <si>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</si>
  <si>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</si>
  <si>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</si>
  <si>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</si>
  <si>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</si>
  <si>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</si>
  <si>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</si>
  <si>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</si>
  <si>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</si>
  <si>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</si>
  <si>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</si>
  <si>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</si>
  <si>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</si>
  <si>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</si>
  <si>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</si>
  <si>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</si>
  <si>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</si>
  <si>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</si>
  <si>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</si>
  <si>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</si>
  <si>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</si>
  <si>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</si>
  <si>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</si>
  <si>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</si>
  <si>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</si>
  <si>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</si>
  <si>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</si>
  <si>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</si>
  <si>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</si>
  <si>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</si>
  <si>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</si>
  <si>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</si>
  <si>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</si>
  <si>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</si>
  <si>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</si>
  <si>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</si>
  <si>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</si>
  <si>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</si>
  <si>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</si>
  <si>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</si>
  <si>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</si>
  <si>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</si>
  <si>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</si>
  <si>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</si>
  <si>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</si>
  <si>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</si>
  <si>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</si>
  <si>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</si>
  <si>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</si>
  <si>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</si>
  <si>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</si>
  <si>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</si>
  <si>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</si>
  <si>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</si>
  <si>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</si>
  <si>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</si>
  <si>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</si>
  <si>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</si>
  <si>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</si>
  <si>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</si>
  <si>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</si>
  <si>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</si>
  <si>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</si>
  <si>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</si>
  <si>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</si>
  <si>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</si>
  <si>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</si>
  <si>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</si>
  <si>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</si>
  <si>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</si>
  <si>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</si>
  <si>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</si>
  <si>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</si>
  <si>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</si>
  <si>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</si>
  <si>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</si>
  <si>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</si>
  <si>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</si>
  <si>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</si>
  <si>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</si>
  <si>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</si>
  <si>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</si>
  <si>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</si>
  <si>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</si>
  <si>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</si>
  <si>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</si>
  <si>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</si>
  <si>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</si>
  <si>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</si>
  <si>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</si>
  <si>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</si>
  <si>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</si>
  <si>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</si>
  <si>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</si>
  <si>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</si>
  <si>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</si>
  <si>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</si>
  <si>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</si>
  <si>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</si>
  <si>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</si>
  <si>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</si>
  <si>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</si>
  <si>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</si>
  <si>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</si>
  <si>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</si>
  <si>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</si>
  <si>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</si>
  <si>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</si>
  <si>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</si>
  <si>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</si>
  <si>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</si>
  <si>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</si>
  <si>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</si>
  <si>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</si>
  <si>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</si>
  <si>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</si>
  <si>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</si>
  <si>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</si>
  <si>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</si>
  <si>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</si>
  <si>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</si>
  <si>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</si>
  <si>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</si>
  <si>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</si>
  <si>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</si>
  <si>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</si>
  <si>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</si>
  <si>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</si>
  <si>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</si>
  <si>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</si>
  <si>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</si>
  <si>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</si>
  <si>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</si>
  <si>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</si>
  <si>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</si>
  <si>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</si>
  <si>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</si>
  <si>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</si>
  <si>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</si>
  <si>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</si>
  <si>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</si>
  <si>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</si>
  <si>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</si>
  <si>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</si>
  <si>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</si>
  <si>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</si>
  <si>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</si>
  <si>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</si>
  <si>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</si>
  <si>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</si>
  <si>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</si>
  <si>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</si>
  <si>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</si>
  <si>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</si>
  <si>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</si>
  <si>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</si>
  <si>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</si>
  <si>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</si>
  <si>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</si>
  <si>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</si>
  <si>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</si>
  <si>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</si>
  <si>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</si>
  <si>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</si>
  <si>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</si>
  <si>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</si>
  <si>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</si>
  <si>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</si>
  <si>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</si>
  <si>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</si>
  <si>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</si>
  <si>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</si>
  <si>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</si>
  <si>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</si>
  <si>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</si>
  <si>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</si>
  <si>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</si>
  <si>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</si>
  <si>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</si>
  <si>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</si>
  <si>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</si>
  <si>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</si>
  <si>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</si>
  <si>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</si>
  <si>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Review corrected</t>
  </si>
  <si>
    <t>discount corrected</t>
  </si>
  <si>
    <t>Discount Amount(Kshs)</t>
  </si>
  <si>
    <t>Rating Category</t>
  </si>
  <si>
    <t>Not Provided</t>
  </si>
  <si>
    <t>Discount Category</t>
  </si>
  <si>
    <t>Average of Current price</t>
  </si>
  <si>
    <t>Average of old price</t>
  </si>
  <si>
    <t>Average of discount corrected</t>
  </si>
  <si>
    <t>Average of Rating</t>
  </si>
  <si>
    <t>Row Labels</t>
  </si>
  <si>
    <t>high</t>
  </si>
  <si>
    <t>Low</t>
  </si>
  <si>
    <t>Medium</t>
  </si>
  <si>
    <t>Grand Total</t>
  </si>
  <si>
    <t>Average</t>
  </si>
  <si>
    <t>Excellent</t>
  </si>
  <si>
    <t>Poor</t>
  </si>
  <si>
    <t>Count of Product</t>
  </si>
  <si>
    <t>(blank)</t>
  </si>
  <si>
    <t>Average of Review corrected</t>
  </si>
  <si>
    <t>Sum of Current price</t>
  </si>
  <si>
    <t>0.0126382306477093-0.112638230647709</t>
  </si>
  <si>
    <t>0.112638230647709-0.212638230647709</t>
  </si>
  <si>
    <t>0.212638230647709-0.312638230647709</t>
  </si>
  <si>
    <t>0.312638230647709-0.412638230647709</t>
  </si>
  <si>
    <t>0.412638230647709-0.512638230647709</t>
  </si>
  <si>
    <t>0.512638230647709-0.612638230647709</t>
  </si>
  <si>
    <t>0.612638230647709-0.712638230647709</t>
  </si>
  <si>
    <t>Max of discount corrected</t>
  </si>
  <si>
    <t>Sum of Review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</si>
</sst>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sh-441]\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0" fontId="16" fillId="0" borderId="0" xfId="0" applyNumberFormat="1" applyFont="1"/>
    <xf numFmtId="10" fontId="0" fillId="0" borderId="0" xfId="0" applyNumberFormat="1"/>
    <xf numFmtId="164" fontId="16" fillId="0" borderId="0" xfId="0" applyNumberFormat="1"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pivotButton="1" applyNumberFormat="1"/>
    <xf numFmtId="10" fontId="0" fillId="0" borderId="0" xfId="0" applyNumberFormat="1" applyAlignment="1">
      <alignment horizontal="left"/>
    </xf>
    <xf numFmtId="2" fontId="0" fillId="0" borderId="0" xfId="0" applyNumberFormat="1"/>
    <xf numFmtId="9" fontId="0" fillId="0" borderId="0" xfId="0" applyNumberFormat="1" applyAlignment="1">
      <alignment horizontal="left"/>
    </xf>
    <xf numFmtId="0"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14" formatCode="0.00%"/>
    </dxf>
    <dxf>
      <numFmt numFmtId="14" formatCode="0.00%"/>
    </dxf>
    <dxf>
      <numFmt numFmtId="14" formatCode="0.00%"/>
    </dxf>
    <dxf>
      <numFmt numFmtId="2" formatCode="0.00"/>
    </dxf>
    <dxf>
      <numFmt numFmtId="2" formatCode="0.00"/>
    </dxf>
    <dxf>
      <numFmt numFmtId="2"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JUMIA.xlsx]Rating.Reviews!PivotTable4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Versus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'Rating.Reviews'!$B$3</c:f>
              <c:strCache>
                <c:ptCount val="1"/>
                <c:pt idx="0">
                  <c:v>Total</c:v>
                </c:pt>
              </c:strCache>
            </c:strRef>
          </c:tx>
          <c:spPr>
            <a:solidFill>
              <a:schemeClr val="accent1"/>
            </a:solidFill>
            <a:ln>
              <a:noFill/>
            </a:ln>
            <a:effectLst/>
          </c:spPr>
          <c:invertIfNegative val="0"/>
          <c:cat>
            <c:strRef>
              <c:f>'Rating.Reviews'!$A$4:$A$27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'Rating.Reviews'!$B$4:$B$27</c:f>
              <c:numCache>
                <c:formatCode>General</c:formatCode>
                <c:ptCount val="23"/>
                <c:pt idx="0">
                  <c:v>1</c:v>
                </c:pt>
                <c:pt idx="1">
                  <c:v>10</c:v>
                </c:pt>
                <c:pt idx="2">
                  <c:v>6</c:v>
                </c:pt>
                <c:pt idx="3">
                  <c:v>6.5</c:v>
                </c:pt>
                <c:pt idx="4">
                  <c:v>6</c:v>
                </c:pt>
                <c:pt idx="5">
                  <c:v>17</c:v>
                </c:pt>
                <c:pt idx="6">
                  <c:v>15</c:v>
                </c:pt>
                <c:pt idx="7">
                  <c:v>69</c:v>
                </c:pt>
                <c:pt idx="8">
                  <c:v>16</c:v>
                </c:pt>
                <c:pt idx="9">
                  <c:v>5.2</c:v>
                </c:pt>
                <c:pt idx="10">
                  <c:v>13</c:v>
                </c:pt>
                <c:pt idx="11">
                  <c:v>10</c:v>
                </c:pt>
                <c:pt idx="12">
                  <c:v>6</c:v>
                </c:pt>
                <c:pt idx="13">
                  <c:v>15.333333333333334</c:v>
                </c:pt>
                <c:pt idx="14">
                  <c:v>9</c:v>
                </c:pt>
                <c:pt idx="15">
                  <c:v>15.25</c:v>
                </c:pt>
                <c:pt idx="16">
                  <c:v>14</c:v>
                </c:pt>
                <c:pt idx="17">
                  <c:v>10.5</c:v>
                </c:pt>
                <c:pt idx="18">
                  <c:v>35.4</c:v>
                </c:pt>
                <c:pt idx="19">
                  <c:v>19.5</c:v>
                </c:pt>
                <c:pt idx="20">
                  <c:v>7.333333333333333</c:v>
                </c:pt>
                <c:pt idx="21">
                  <c:v>1.7142857142857142</c:v>
                </c:pt>
                <c:pt idx="22">
                  <c:v>0</c:v>
                </c:pt>
              </c:numCache>
            </c:numRef>
          </c:val>
          <c:extLst>
            <c:ext xmlns:c16="http://schemas.microsoft.com/office/drawing/2014/chart" uri="{C3380CC4-5D6E-409C-BE32-E72D297353CC}">
              <c16:uniqueId val="{00000000-8B1E-4515-8AF1-9A90BB0F7000}"/>
            </c:ext>
          </c:extLst>
        </c:ser>
        <c:dLbls>
          <c:showLegendKey val="0"/>
          <c:showVal val="0"/>
          <c:showCatName val="0"/>
          <c:showSerName val="0"/>
          <c:showPercent val="0"/>
          <c:showBubbleSize val="0"/>
        </c:dLbls>
        <c:gapWidth val="219"/>
        <c:overlap val="-27"/>
        <c:axId val="1999327423"/>
        <c:axId val="1999329503"/>
      </c:barChart>
      <c:catAx>
        <c:axId val="19993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9503"/>
        <c:crosses val="autoZero"/>
        <c:auto val="1"/>
        <c:lblAlgn val="ctr"/>
        <c:lblOffset val="100"/>
        <c:noMultiLvlLbl val="0"/>
      </c:catAx>
      <c:valAx>
        <c:axId val="19993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JUMIA.xlsx]Disc%.No of Reviews!PivotTable16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'Disc%.No of Reviews'!$B$3</c:f>
              <c:strCache>
                <c:ptCount val="1"/>
                <c:pt idx="0">
                  <c:v>Total</c:v>
                </c:pt>
              </c:strCache>
            </c:strRef>
          </c:tx>
          <c:spPr>
            <a:ln w="28575" cap="rnd">
              <a:solidFill>
                <a:schemeClr val="accent1"/>
              </a:solidFill>
              <a:round/>
            </a:ln>
            <a:effectLst/>
          </c:spPr>
          <c:marker>
            <c:symbol val="none"/>
          </c:marker>
          <c:cat>
            <c:strRef>
              <c:f>'Disc%.No of Reviews'!$A$4:$A$11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'Disc%.No of Reviews'!$B$4:$B$11</c:f>
              <c:numCache>
                <c:formatCode>0.00</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0-2B56-4816-9DAA-709475E5B7E4}"/>
            </c:ext>
          </c:extLst>
        </c:ser>
        <c:dLbls>
          <c:showLegendKey val="0"/>
          <c:showVal val="0"/>
          <c:showCatName val="0"/>
          <c:showSerName val="0"/>
          <c:showPercent val="0"/>
          <c:showBubbleSize val="0"/>
        </c:dLbls>
        <c:smooth val="0"/>
        <c:axId val="1999333247"/>
        <c:axId val="1999325343"/>
      </c:lineChart>
      <c:catAx>
        <c:axId val="1999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5343"/>
        <c:crosses val="autoZero"/>
        <c:auto val="1"/>
        <c:lblAlgn val="ctr"/>
        <c:lblOffset val="100"/>
        <c:noMultiLvlLbl val="0"/>
      </c:catAx>
      <c:valAx>
        <c:axId val="199932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highest discount!PivotTable17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D13C-4A14-9772-F9833050C369}"/>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 10 top products most review!PivotTable18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 10 top products most review'!$B$3</c:f>
              <c:strCache>
                <c:ptCount val="1"/>
                <c:pt idx="0">
                  <c:v>Total</c:v>
                </c:pt>
              </c:strCache>
            </c:strRef>
          </c:tx>
          <c:spPr>
            <a:solidFill>
              <a:schemeClr val="accent1"/>
            </a:solidFill>
            <a:ln>
              <a:noFill/>
            </a:ln>
            <a:effectLst/>
          </c:spPr>
          <c:invertIfNegative val="0"/>
          <c:cat>
            <c:strRef>
              <c:f>' 10 top products most 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 10 top products most review'!$B$4:$B$14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D895-405D-BAFF-E2E8ACB53766}"/>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JUMIA.xlsx]compare.high.low.disc!PivotTable21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comparison</a:t>
            </a:r>
            <a:r>
              <a:rPr lang="en-US" b="1" baseline="0">
                <a:solidFill>
                  <a:srgbClr val="FF0000"/>
                </a:solidFill>
              </a:rPr>
              <a:t> Between high&amp; discounts based on average rating.</a:t>
            </a:r>
            <a:endParaRPr lang="en-US" b="1">
              <a:solidFill>
                <a:srgbClr val="FF0000"/>
              </a:solidFill>
            </a:endParaRPr>
          </a:p>
        </c:rich>
      </c:tx>
      <c:layout>
        <c:manualLayout>
          <c:xMode val="edge"/>
          <c:yMode val="edge"/>
          <c:x val="0.14503455818022748"/>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'compare.high.low.disc'!$B$3</c:f>
              <c:strCache>
                <c:ptCount val="1"/>
                <c:pt idx="0">
                  <c:v>Average of Rating</c:v>
                </c:pt>
              </c:strCache>
            </c:strRef>
          </c:tx>
          <c:spPr>
            <a:ln w="28575" cap="rnd">
              <a:solidFill>
                <a:schemeClr val="accent1"/>
              </a:solidFill>
              <a:round/>
            </a:ln>
            <a:effectLst/>
          </c:spPr>
          <c:marker>
            <c:symbol val="none"/>
          </c:marker>
          <c:cat>
            <c:strRef>
              <c:f>'compare.high.low.disc'!$A$4:$A$11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'compare.high.low.disc'!$B$4:$B$11</c:f>
              <c:numCache>
                <c:formatCode>General</c:formatCode>
                <c:ptCount val="7"/>
                <c:pt idx="0">
                  <c:v>4</c:v>
                </c:pt>
                <c:pt idx="1">
                  <c:v>4</c:v>
                </c:pt>
                <c:pt idx="2">
                  <c:v>4.177777777777778</c:v>
                </c:pt>
                <c:pt idx="3">
                  <c:v>4.3076923076923075</c:v>
                </c:pt>
                <c:pt idx="4">
                  <c:v>3.4799999999999995</c:v>
                </c:pt>
                <c:pt idx="5">
                  <c:v>3.8333333333333335</c:v>
                </c:pt>
                <c:pt idx="6">
                  <c:v>#N/A</c:v>
                </c:pt>
              </c:numCache>
            </c:numRef>
          </c:val>
          <c:smooth val="0"/>
          <c:extLst>
            <c:ext xmlns:c16="http://schemas.microsoft.com/office/drawing/2014/chart" uri="{C3380CC4-5D6E-409C-BE32-E72D297353CC}">
              <c16:uniqueId val="{00000000-4172-4847-BE60-E05BAC0F061C}"/>
            </c:ext>
          </c:extLst>
        </c:ser>
        <c:ser>
          <c:idx val="1"/>
          <c:order val="1"/>
          <c:tx>
            <c:strRef>
              <c:f>'compare.high.low.disc'!$C$3</c:f>
              <c:strCache>
                <c:ptCount val="1"/>
                <c:pt idx="0">
                  <c:v>Average of Review corrected</c:v>
                </c:pt>
              </c:strCache>
            </c:strRef>
          </c:tx>
          <c:spPr>
            <a:ln w="28575" cap="rnd">
              <a:solidFill>
                <a:schemeClr val="accent2"/>
              </a:solidFill>
              <a:round/>
            </a:ln>
            <a:effectLst/>
          </c:spPr>
          <c:marker>
            <c:symbol val="none"/>
          </c:marker>
          <c:cat>
            <c:strRef>
              <c:f>'compare.high.low.disc'!$A$4:$A$11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'compare.high.low.disc'!$C$4:$C$11</c:f>
              <c:numCache>
                <c:formatCode>General</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1-4172-4847-BE60-E05BAC0F061C}"/>
            </c:ext>
          </c:extLst>
        </c:ser>
        <c:dLbls>
          <c:showLegendKey val="0"/>
          <c:showVal val="0"/>
          <c:showCatName val="0"/>
          <c:showSerName val="0"/>
          <c:showPercent val="0"/>
          <c:showBubbleSize val="0"/>
        </c:dLbls>
        <c:smooth val="0"/>
        <c:axId val="1999323679"/>
        <c:axId val="1999335327"/>
      </c:lineChart>
      <c:catAx>
        <c:axId val="19993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5327"/>
        <c:crosses val="autoZero"/>
        <c:auto val="1"/>
        <c:lblAlgn val="ctr"/>
        <c:lblOffset val="100"/>
        <c:noMultiLvlLbl val="0"/>
      </c:catAx>
      <c:valAx>
        <c:axId val="199933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Products by rating!PivotTable32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46C5-48E9-B28A-CEA99CB6D990}"/>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JUMIA.xlsx]product.rating category!PivotTable33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'product.rating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E2-4971-8E67-E53CE7435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E2-4971-8E67-E53CE74356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E2-4971-8E67-E53CE74356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E2-4971-8E67-E53CE74356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E2-4971-8E67-E53CE743567A}"/>
              </c:ext>
            </c:extLst>
          </c:dPt>
          <c:cat>
            <c:strRef>
              <c:f>'product.rating category'!$A$4:$A$9</c:f>
              <c:strCache>
                <c:ptCount val="5"/>
                <c:pt idx="0">
                  <c:v>Average</c:v>
                </c:pt>
                <c:pt idx="1">
                  <c:v>Excellent</c:v>
                </c:pt>
                <c:pt idx="2">
                  <c:v>Not Provided</c:v>
                </c:pt>
                <c:pt idx="3">
                  <c:v>Poor</c:v>
                </c:pt>
                <c:pt idx="4">
                  <c:v>(blank)</c:v>
                </c:pt>
              </c:strCache>
            </c:strRef>
          </c:cat>
          <c:val>
            <c:numRef>
              <c:f>'product.rating category'!$B$4:$B$9</c:f>
              <c:numCache>
                <c:formatCode>General</c:formatCode>
                <c:ptCount val="5"/>
                <c:pt idx="0">
                  <c:v>22</c:v>
                </c:pt>
                <c:pt idx="1">
                  <c:v>23</c:v>
                </c:pt>
                <c:pt idx="2">
                  <c:v>52</c:v>
                </c:pt>
                <c:pt idx="3">
                  <c:v>12</c:v>
                </c:pt>
              </c:numCache>
            </c:numRef>
          </c:val>
          <c:extLst>
            <c:ext xmlns:c16="http://schemas.microsoft.com/office/drawing/2014/chart" uri="{C3380CC4-5D6E-409C-BE32-E72D297353CC}">
              <c16:uniqueId val="{00000000-F50B-4BCE-AAE1-9F3B29FCD2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JUMIA.xlsx]Products.disc category!PivotTable34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'Products.disc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9-42DE-9560-9F26C7912F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9-42DE-9560-9F26C7912F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D9-42DE-9560-9F26C7912F73}"/>
              </c:ext>
            </c:extLst>
          </c:dPt>
          <c:cat>
            <c:strRef>
              <c:f>'Products.disc category'!$A$4:$A$7</c:f>
              <c:strCache>
                <c:ptCount val="3"/>
                <c:pt idx="0">
                  <c:v>high</c:v>
                </c:pt>
                <c:pt idx="1">
                  <c:v>Low</c:v>
                </c:pt>
                <c:pt idx="2">
                  <c:v>Medium</c:v>
                </c:pt>
              </c:strCache>
            </c:strRef>
          </c:cat>
          <c:val>
            <c:numRef>
              <c:f>'Products.disc category'!$B$4:$B$7</c:f>
              <c:numCache>
                <c:formatCode>General</c:formatCode>
                <c:ptCount val="3"/>
                <c:pt idx="0">
                  <c:v>59</c:v>
                </c:pt>
                <c:pt idx="1">
                  <c:v>18</c:v>
                </c:pt>
                <c:pt idx="2">
                  <c:v>32</c:v>
                </c:pt>
              </c:numCache>
            </c:numRef>
          </c:val>
          <c:extLst>
            <c:ext xmlns:c16="http://schemas.microsoft.com/office/drawing/2014/chart" uri="{C3380CC4-5D6E-409C-BE32-E72D297353CC}">
              <c16:uniqueId val="{00000000-A13B-4573-B21D-09989EC150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Products by rating!PivotTable32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7320-44A0-A734-3280C1299D57}"/>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 10 top products most review!PivotTable18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 10 top products most review'!$B$3</c:f>
              <c:strCache>
                <c:ptCount val="1"/>
                <c:pt idx="0">
                  <c:v>Total</c:v>
                </c:pt>
              </c:strCache>
            </c:strRef>
          </c:tx>
          <c:spPr>
            <a:solidFill>
              <a:schemeClr val="accent1"/>
            </a:solidFill>
            <a:ln>
              <a:noFill/>
            </a:ln>
            <a:effectLst/>
          </c:spPr>
          <c:invertIfNegative val="0"/>
          <c:cat>
            <c:strRef>
              <c:f>' 10 top products most 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 10 top products most review'!$B$4:$B$14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51A9-4838-91F4-1887D70BAADA}"/>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highest discount!PivotTable17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6D5B-42B1-BF15-E19EBAFEA093}"/>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JUMIA.xlsx]Disc%.No of Reviews!PivotTable16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'Disc%.No of Reviews'!$B$3</c:f>
              <c:strCache>
                <c:ptCount val="1"/>
                <c:pt idx="0">
                  <c:v>Total</c:v>
                </c:pt>
              </c:strCache>
            </c:strRef>
          </c:tx>
          <c:spPr>
            <a:ln w="28575" cap="rnd">
              <a:solidFill>
                <a:schemeClr val="accent1"/>
              </a:solidFill>
              <a:round/>
            </a:ln>
            <a:effectLst/>
          </c:spPr>
          <c:marker>
            <c:symbol val="none"/>
          </c:marker>
          <c:cat>
            <c:strRef>
              <c:f>'Disc%.No of Reviews'!$A$4:$A$11</c:f>
              <c:strCache>
                <c:ptCount val="7"/>
                <c:pt idx="0">
                  <c:v>0.0126382306477093-0.112638230647709</c:v>
                </c:pt>
                <c:pt idx="1">
                  <c:v>0.112638230647709-0.212638230647709</c:v>
                </c:pt>
                <c:pt idx="2">
                  <c:v>0.212638230647709-0.312638230647709</c:v>
                </c:pt>
                <c:pt idx="3">
                  <c:v>0.312638230647709-0.412638230647709</c:v>
                </c:pt>
                <c:pt idx="4">
                  <c:v>0.412638230647709-0.512638230647709</c:v>
                </c:pt>
                <c:pt idx="5">
                  <c:v>0.512638230647709-0.612638230647709</c:v>
                </c:pt>
                <c:pt idx="6">
                  <c:v>0.612638230647709-0.712638230647709</c:v>
                </c:pt>
              </c:strCache>
            </c:strRef>
          </c:cat>
          <c:val>
            <c:numRef>
              <c:f>'Disc%.No of Reviews'!$B$4:$B$11</c:f>
              <c:numCache>
                <c:formatCode>0.00</c:formatCode>
                <c:ptCount val="7"/>
                <c:pt idx="0">
                  <c:v>1.1538461538461537</c:v>
                </c:pt>
                <c:pt idx="1">
                  <c:v>5.1428571428571432</c:v>
                </c:pt>
                <c:pt idx="2">
                  <c:v>15.916666666666666</c:v>
                </c:pt>
                <c:pt idx="3">
                  <c:v>9.15</c:v>
                </c:pt>
                <c:pt idx="4">
                  <c:v>4.8260869565217392</c:v>
                </c:pt>
                <c:pt idx="5">
                  <c:v>7.6</c:v>
                </c:pt>
                <c:pt idx="6">
                  <c:v>0</c:v>
                </c:pt>
              </c:numCache>
            </c:numRef>
          </c:val>
          <c:smooth val="0"/>
          <c:extLst>
            <c:ext xmlns:c16="http://schemas.microsoft.com/office/drawing/2014/chart" uri="{C3380CC4-5D6E-409C-BE32-E72D297353CC}">
              <c16:uniqueId val="{00000000-BD85-47C2-97E7-3B77704C262F}"/>
            </c:ext>
          </c:extLst>
        </c:ser>
        <c:dLbls>
          <c:showLegendKey val="0"/>
          <c:showVal val="0"/>
          <c:showCatName val="0"/>
          <c:showSerName val="0"/>
          <c:showPercent val="0"/>
          <c:showBubbleSize val="0"/>
        </c:dLbls>
        <c:smooth val="0"/>
        <c:axId val="1999333247"/>
        <c:axId val="1999325343"/>
      </c:lineChart>
      <c:catAx>
        <c:axId val="19993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5343"/>
        <c:crosses val="autoZero"/>
        <c:auto val="1"/>
        <c:lblAlgn val="ctr"/>
        <c:lblOffset val="100"/>
        <c:noMultiLvlLbl val="0"/>
      </c:catAx>
      <c:valAx>
        <c:axId val="199932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3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JUMIA.xlsx]Rating.Reviews!PivotTable4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Versus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'Rating.Reviews'!$B$3</c:f>
              <c:strCache>
                <c:ptCount val="1"/>
                <c:pt idx="0">
                  <c:v>Total</c:v>
                </c:pt>
              </c:strCache>
            </c:strRef>
          </c:tx>
          <c:spPr>
            <a:solidFill>
              <a:schemeClr val="accent1"/>
            </a:solidFill>
            <a:ln>
              <a:noFill/>
            </a:ln>
            <a:effectLst/>
          </c:spPr>
          <c:invertIfNegative val="0"/>
          <c:cat>
            <c:strRef>
              <c:f>'Rating.Reviews'!$A$4:$A$27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'Rating.Reviews'!$B$4:$B$27</c:f>
              <c:numCache>
                <c:formatCode>General</c:formatCode>
                <c:ptCount val="23"/>
                <c:pt idx="0">
                  <c:v>1</c:v>
                </c:pt>
                <c:pt idx="1">
                  <c:v>10</c:v>
                </c:pt>
                <c:pt idx="2">
                  <c:v>6</c:v>
                </c:pt>
                <c:pt idx="3">
                  <c:v>6.5</c:v>
                </c:pt>
                <c:pt idx="4">
                  <c:v>6</c:v>
                </c:pt>
                <c:pt idx="5">
                  <c:v>17</c:v>
                </c:pt>
                <c:pt idx="6">
                  <c:v>15</c:v>
                </c:pt>
                <c:pt idx="7">
                  <c:v>69</c:v>
                </c:pt>
                <c:pt idx="8">
                  <c:v>16</c:v>
                </c:pt>
                <c:pt idx="9">
                  <c:v>5.2</c:v>
                </c:pt>
                <c:pt idx="10">
                  <c:v>13</c:v>
                </c:pt>
                <c:pt idx="11">
                  <c:v>10</c:v>
                </c:pt>
                <c:pt idx="12">
                  <c:v>6</c:v>
                </c:pt>
                <c:pt idx="13">
                  <c:v>15.333333333333334</c:v>
                </c:pt>
                <c:pt idx="14">
                  <c:v>9</c:v>
                </c:pt>
                <c:pt idx="15">
                  <c:v>15.25</c:v>
                </c:pt>
                <c:pt idx="16">
                  <c:v>14</c:v>
                </c:pt>
                <c:pt idx="17">
                  <c:v>10.5</c:v>
                </c:pt>
                <c:pt idx="18">
                  <c:v>35.4</c:v>
                </c:pt>
                <c:pt idx="19">
                  <c:v>19.5</c:v>
                </c:pt>
                <c:pt idx="20">
                  <c:v>7.333333333333333</c:v>
                </c:pt>
                <c:pt idx="21">
                  <c:v>1.7142857142857142</c:v>
                </c:pt>
                <c:pt idx="22">
                  <c:v>0</c:v>
                </c:pt>
              </c:numCache>
            </c:numRef>
          </c:val>
          <c:extLst>
            <c:ext xmlns:c16="http://schemas.microsoft.com/office/drawing/2014/chart" uri="{C3380CC4-5D6E-409C-BE32-E72D297353CC}">
              <c16:uniqueId val="{00000000-9131-4DAF-B698-B46A10E458F5}"/>
            </c:ext>
          </c:extLst>
        </c:ser>
        <c:dLbls>
          <c:showLegendKey val="0"/>
          <c:showVal val="0"/>
          <c:showCatName val="0"/>
          <c:showSerName val="0"/>
          <c:showPercent val="0"/>
          <c:showBubbleSize val="0"/>
        </c:dLbls>
        <c:gapWidth val="219"/>
        <c:overlap val="-27"/>
        <c:axId val="1999327423"/>
        <c:axId val="1999329503"/>
      </c:barChart>
      <c:catAx>
        <c:axId val="19993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9503"/>
        <c:crosses val="autoZero"/>
        <c:auto val="1"/>
        <c:lblAlgn val="ctr"/>
        <c:lblOffset val="100"/>
        <c:noMultiLvlLbl val="0"/>
      </c:catAx>
      <c:valAx>
        <c:axId val="199932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7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Products by rating!PivotTable32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Products by rating'!$B$3</c:f>
              <c:strCache>
                <c:ptCount val="1"/>
                <c:pt idx="0">
                  <c:v>Total</c:v>
                </c:pt>
              </c:strCache>
            </c:strRef>
          </c:tx>
          <c:spPr>
            <a:solidFill>
              <a:schemeClr val="accent1"/>
            </a:solidFill>
            <a:ln>
              <a:noFill/>
            </a:ln>
            <a:effectLst/>
          </c:spPr>
          <c:invertIfNegative val="0"/>
          <c:cat>
            <c:strRef>
              <c:f>'Top Products by 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Products by 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53B7-4041-8ACF-C9A2C48A8EA7}"/>
            </c:ext>
          </c:extLst>
        </c:ser>
        <c:dLbls>
          <c:showLegendKey val="0"/>
          <c:showVal val="0"/>
          <c:showCatName val="0"/>
          <c:showSerName val="0"/>
          <c:showPercent val="0"/>
          <c:showBubbleSize val="0"/>
        </c:dLbls>
        <c:gapWidth val="182"/>
        <c:axId val="1999326175"/>
        <c:axId val="1999330751"/>
      </c:barChart>
      <c:catAx>
        <c:axId val="19993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0751"/>
        <c:crosses val="autoZero"/>
        <c:auto val="1"/>
        <c:lblAlgn val="ctr"/>
        <c:lblOffset val="100"/>
        <c:noMultiLvlLbl val="0"/>
      </c:catAx>
      <c:valAx>
        <c:axId val="199933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261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 10 top products most review!PivotTable18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 10 top products most review'!$B$3</c:f>
              <c:strCache>
                <c:ptCount val="1"/>
                <c:pt idx="0">
                  <c:v>Total</c:v>
                </c:pt>
              </c:strCache>
            </c:strRef>
          </c:tx>
          <c:spPr>
            <a:solidFill>
              <a:schemeClr val="accent1"/>
            </a:solidFill>
            <a:ln>
              <a:noFill/>
            </a:ln>
            <a:effectLst/>
          </c:spPr>
          <c:invertIfNegative val="0"/>
          <c:cat>
            <c:strRef>
              <c:f>' 10 top products most review'!$A$4:$A$14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 10 top products most review'!$B$4:$B$14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720C-4E9A-97B3-FCF3C197EC2A}"/>
            </c:ext>
          </c:extLst>
        </c:ser>
        <c:dLbls>
          <c:showLegendKey val="0"/>
          <c:showVal val="0"/>
          <c:showCatName val="0"/>
          <c:showSerName val="0"/>
          <c:showPercent val="0"/>
          <c:showBubbleSize val="0"/>
        </c:dLbls>
        <c:gapWidth val="219"/>
        <c:overlap val="-27"/>
        <c:axId val="1999336575"/>
        <c:axId val="1999331999"/>
      </c:barChart>
      <c:catAx>
        <c:axId val="19993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1999"/>
        <c:crosses val="autoZero"/>
        <c:auto val="1"/>
        <c:lblAlgn val="ctr"/>
        <c:lblOffset val="100"/>
        <c:noMultiLvlLbl val="0"/>
      </c:catAx>
      <c:valAx>
        <c:axId val="199933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JUMIA.xlsx]top highest discount!PivotTable17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highest discount'!$B$3</c:f>
              <c:strCache>
                <c:ptCount val="1"/>
                <c:pt idx="0">
                  <c:v>Total</c:v>
                </c:pt>
              </c:strCache>
            </c:strRef>
          </c:tx>
          <c:spPr>
            <a:solidFill>
              <a:schemeClr val="accent1"/>
            </a:solidFill>
            <a:ln>
              <a:noFill/>
            </a:ln>
            <a:effectLst/>
          </c:spPr>
          <c:invertIfNegative val="0"/>
          <c:cat>
            <c:strRef>
              <c:f>'top highest discount'!$A$4:$A$14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highest discount'!$B$4:$B$14</c:f>
              <c:numCache>
                <c:formatCode>General</c:formatCode>
                <c:ptCount val="10"/>
                <c:pt idx="0">
                  <c:v>0.52500000000000002</c:v>
                </c:pt>
                <c:pt idx="1">
                  <c:v>0.55000000000000004</c:v>
                </c:pt>
                <c:pt idx="2">
                  <c:v>0.64014466546112114</c:v>
                </c:pt>
                <c:pt idx="3">
                  <c:v>0.52500000000000002</c:v>
                </c:pt>
                <c:pt idx="4">
                  <c:v>0.60515873015873012</c:v>
                </c:pt>
                <c:pt idx="5">
                  <c:v>0.51570680628272247</c:v>
                </c:pt>
                <c:pt idx="6">
                  <c:v>0.5220588235294118</c:v>
                </c:pt>
                <c:pt idx="7">
                  <c:v>0.54488888888888887</c:v>
                </c:pt>
                <c:pt idx="8">
                  <c:v>0.54500000000000004</c:v>
                </c:pt>
                <c:pt idx="9">
                  <c:v>0.53549695740365111</c:v>
                </c:pt>
              </c:numCache>
            </c:numRef>
          </c:val>
          <c:extLst>
            <c:ext xmlns:c16="http://schemas.microsoft.com/office/drawing/2014/chart" uri="{C3380CC4-5D6E-409C-BE32-E72D297353CC}">
              <c16:uniqueId val="{00000000-BB05-4E2F-AD5C-546FD6CE3F18}"/>
            </c:ext>
          </c:extLst>
        </c:ser>
        <c:dLbls>
          <c:showLegendKey val="0"/>
          <c:showVal val="0"/>
          <c:showCatName val="0"/>
          <c:showSerName val="0"/>
          <c:showPercent val="0"/>
          <c:showBubbleSize val="0"/>
        </c:dLbls>
        <c:gapWidth val="182"/>
        <c:axId val="1999334079"/>
        <c:axId val="1999338239"/>
      </c:barChart>
      <c:catAx>
        <c:axId val="19993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8239"/>
        <c:crosses val="autoZero"/>
        <c:auto val="1"/>
        <c:lblAlgn val="ctr"/>
        <c:lblOffset val="100"/>
        <c:noMultiLvlLbl val="0"/>
      </c:catAx>
      <c:valAx>
        <c:axId val="19993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JUMIA.xlsx]Products.disc category!PivotTable34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'Products.disc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89-47B0-9F54-7A73C4241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89-47B0-9F54-7A73C42418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89-47B0-9F54-7A73C42418DA}"/>
              </c:ext>
            </c:extLst>
          </c:dPt>
          <c:cat>
            <c:strRef>
              <c:f>'Products.disc category'!$A$4:$A$7</c:f>
              <c:strCache>
                <c:ptCount val="3"/>
                <c:pt idx="0">
                  <c:v>high</c:v>
                </c:pt>
                <c:pt idx="1">
                  <c:v>Low</c:v>
                </c:pt>
                <c:pt idx="2">
                  <c:v>Medium</c:v>
                </c:pt>
              </c:strCache>
            </c:strRef>
          </c:cat>
          <c:val>
            <c:numRef>
              <c:f>'Products.disc category'!$B$4:$B$7</c:f>
              <c:numCache>
                <c:formatCode>General</c:formatCode>
                <c:ptCount val="3"/>
                <c:pt idx="0">
                  <c:v>59</c:v>
                </c:pt>
                <c:pt idx="1">
                  <c:v>18</c:v>
                </c:pt>
                <c:pt idx="2">
                  <c:v>32</c:v>
                </c:pt>
              </c:numCache>
            </c:numRef>
          </c:val>
          <c:extLst>
            <c:ext xmlns:c16="http://schemas.microsoft.com/office/drawing/2014/chart" uri="{C3380CC4-5D6E-409C-BE32-E72D297353CC}">
              <c16:uniqueId val="{00000006-A989-47B0-9F54-7A73C42418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 JUMIA.xlsx]product.rating category!PivotTable33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'product.rating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4-447C-948A-FF8BF4DA1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4-447C-948A-FF8BF4DA15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B4-447C-948A-FF8BF4DA15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B4-447C-948A-FF8BF4DA15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B4-447C-948A-FF8BF4DA156B}"/>
              </c:ext>
            </c:extLst>
          </c:dPt>
          <c:cat>
            <c:strRef>
              <c:f>'product.rating category'!$A$4:$A$9</c:f>
              <c:strCache>
                <c:ptCount val="5"/>
                <c:pt idx="0">
                  <c:v>Average</c:v>
                </c:pt>
                <c:pt idx="1">
                  <c:v>Excellent</c:v>
                </c:pt>
                <c:pt idx="2">
                  <c:v>Not Provided</c:v>
                </c:pt>
                <c:pt idx="3">
                  <c:v>Poor</c:v>
                </c:pt>
                <c:pt idx="4">
                  <c:v>(blank)</c:v>
                </c:pt>
              </c:strCache>
            </c:strRef>
          </c:cat>
          <c:val>
            <c:numRef>
              <c:f>'product.rating category'!$B$4:$B$9</c:f>
              <c:numCache>
                <c:formatCode>General</c:formatCode>
                <c:ptCount val="5"/>
                <c:pt idx="0">
                  <c:v>22</c:v>
                </c:pt>
                <c:pt idx="1">
                  <c:v>23</c:v>
                </c:pt>
                <c:pt idx="2">
                  <c:v>52</c:v>
                </c:pt>
                <c:pt idx="3">
                  <c:v>12</c:v>
                </c:pt>
              </c:numCache>
            </c:numRef>
          </c:val>
          <c:extLst>
            <c:ext xmlns:c16="http://schemas.microsoft.com/office/drawing/2014/chart" uri="{C3380CC4-5D6E-409C-BE32-E72D297353CC}">
              <c16:uniqueId val="{0000000A-C4B4-447C-948A-FF8BF4DA15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165100</xdr:colOff>
      <xdr:row>2</xdr:row>
      <xdr:rowOff>180975</xdr:rowOff>
    </xdr:from>
    <xdr:to>
      <xdr:col>9</xdr:col>
      <xdr:colOff>469900</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1</xdr:row>
      <xdr:rowOff>66675</xdr:rowOff>
    </xdr:from>
    <xdr:to>
      <xdr:col>9</xdr:col>
      <xdr:colOff>533400</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0</xdr:row>
      <xdr:rowOff>0</xdr:rowOff>
    </xdr:from>
    <xdr:to>
      <xdr:col>9</xdr:col>
      <xdr:colOff>533400</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xdr:colOff>
      <xdr:row>0</xdr:row>
      <xdr:rowOff>127000</xdr:rowOff>
    </xdr:from>
    <xdr:to>
      <xdr:col>9</xdr:col>
      <xdr:colOff>349250</xdr:colOff>
      <xdr:row>15</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130175</xdr:colOff>
      <xdr:row>1</xdr:row>
      <xdr:rowOff>60325</xdr:rowOff>
    </xdr:from>
    <xdr:to>
      <xdr:col>10</xdr:col>
      <xdr:colOff>434975</xdr:colOff>
      <xdr:row>16</xdr:row>
      <xdr:rowOff>41275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82550</xdr:colOff>
      <xdr:row>1</xdr:row>
      <xdr:rowOff>123825</xdr:rowOff>
    </xdr:from>
    <xdr:to>
      <xdr:col>9</xdr:col>
      <xdr:colOff>387350</xdr:colOff>
      <xdr:row>16</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428625</xdr:colOff>
      <xdr:row>1</xdr:row>
      <xdr:rowOff>85725</xdr:rowOff>
    </xdr:from>
    <xdr:to>
      <xdr:col>10</xdr:col>
      <xdr:colOff>123825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139700</xdr:colOff>
      <xdr:row>1</xdr:row>
      <xdr:rowOff>120650</xdr:rowOff>
    </xdr:from>
    <xdr:to>
      <xdr:col>13</xdr:col>
      <xdr:colOff>139700</xdr:colOff>
      <xdr:row>15</xdr:row>
      <xdr:rowOff>66675</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946900"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95250</xdr:rowOff>
    </xdr:from>
    <xdr:to>
      <xdr:col>1</xdr:col>
      <xdr:colOff>977900</xdr:colOff>
      <xdr:row>23</xdr:row>
      <xdr:rowOff>41275</xdr:rowOff>
    </xdr:to>
    <mc:AlternateContent xmlns:mc="http://schemas.openxmlformats.org/markup-compatibility/2006" xmlns:a14="http://schemas.microsoft.com/office/drawing/2010/main">
      <mc:Choice Requires="a14">
        <xdr:graphicFrame macro="">
          <xdr:nvGraphicFramePr>
            <xdr:cNvPr id="4"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700" y="175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117475</xdr:colOff>
      <xdr:row>1</xdr:row>
      <xdr:rowOff>22225</xdr:rowOff>
    </xdr:from>
    <xdr:to>
      <xdr:col>9</xdr:col>
      <xdr:colOff>422275</xdr:colOff>
      <xdr:row>16</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552450</xdr:colOff>
      <xdr:row>1</xdr:row>
      <xdr:rowOff>19050</xdr:rowOff>
    </xdr:from>
    <xdr:to>
      <xdr:col>12</xdr:col>
      <xdr:colOff>552450</xdr:colOff>
      <xdr:row>14</xdr:row>
      <xdr:rowOff>149225</xdr:rowOff>
    </xdr:to>
    <mc:AlternateContent xmlns:mc="http://schemas.openxmlformats.org/markup-compatibility/2006" xmlns:a14="http://schemas.microsoft.com/office/drawing/2010/main">
      <mc:Choice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750050" y="20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7</xdr:row>
      <xdr:rowOff>25400</xdr:rowOff>
    </xdr:from>
    <xdr:to>
      <xdr:col>1</xdr:col>
      <xdr:colOff>971550</xdr:colOff>
      <xdr:row>20</xdr:row>
      <xdr:rowOff>155575</xdr:rowOff>
    </xdr:to>
    <mc:AlternateContent xmlns:mc="http://schemas.openxmlformats.org/markup-compatibility/2006" xmlns:a14="http://schemas.microsoft.com/office/drawing/2010/main">
      <mc:Choice Requires="a14">
        <xdr:graphicFrame macro="">
          <xdr:nvGraphicFramePr>
            <xdr:cNvPr id="4"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350" y="131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266700</xdr:colOff>
      <xdr:row>0</xdr:row>
      <xdr:rowOff>158750</xdr:rowOff>
    </xdr:from>
    <xdr:to>
      <xdr:col>10</xdr:col>
      <xdr:colOff>349250</xdr:colOff>
      <xdr:row>3</xdr:row>
      <xdr:rowOff>114300</xdr:rowOff>
    </xdr:to>
    <xdr:sp macro="" textlink="">
      <xdr:nvSpPr>
        <xdr:cNvPr id="2" name="Rounded Rectangle 1"/>
        <xdr:cNvSpPr/>
      </xdr:nvSpPr>
      <xdr:spPr>
        <a:xfrm>
          <a:off x="2095500" y="158750"/>
          <a:ext cx="4349750" cy="508000"/>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xdr:colOff>
      <xdr:row>1</xdr:row>
      <xdr:rowOff>50801</xdr:rowOff>
    </xdr:from>
    <xdr:to>
      <xdr:col>10</xdr:col>
      <xdr:colOff>120650</xdr:colOff>
      <xdr:row>3</xdr:row>
      <xdr:rowOff>12701</xdr:rowOff>
    </xdr:to>
    <xdr:sp macro="" textlink="">
      <xdr:nvSpPr>
        <xdr:cNvPr id="3" name="TextBox 2"/>
        <xdr:cNvSpPr txBox="1"/>
      </xdr:nvSpPr>
      <xdr:spPr>
        <a:xfrm>
          <a:off x="2451100" y="234951"/>
          <a:ext cx="37655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JUMIA PRODUCT PERFORMANCE</a:t>
          </a:r>
        </a:p>
      </xdr:txBody>
    </xdr:sp>
    <xdr:clientData/>
  </xdr:twoCellAnchor>
  <xdr:twoCellAnchor>
    <xdr:from>
      <xdr:col>1</xdr:col>
      <xdr:colOff>114300</xdr:colOff>
      <xdr:row>4</xdr:row>
      <xdr:rowOff>120650</xdr:rowOff>
    </xdr:from>
    <xdr:to>
      <xdr:col>4</xdr:col>
      <xdr:colOff>425450</xdr:colOff>
      <xdr:row>7</xdr:row>
      <xdr:rowOff>95250</xdr:rowOff>
    </xdr:to>
    <xdr:sp macro="" textlink="">
      <xdr:nvSpPr>
        <xdr:cNvPr id="4" name="Rounded Rectangle 3"/>
        <xdr:cNvSpPr/>
      </xdr:nvSpPr>
      <xdr:spPr>
        <a:xfrm>
          <a:off x="723900" y="857250"/>
          <a:ext cx="2139950" cy="52705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95250</xdr:colOff>
      <xdr:row>4</xdr:row>
      <xdr:rowOff>95250</xdr:rowOff>
    </xdr:from>
    <xdr:to>
      <xdr:col>4</xdr:col>
      <xdr:colOff>450850</xdr:colOff>
      <xdr:row>7</xdr:row>
      <xdr:rowOff>107950</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831850"/>
          <a:ext cx="2184400" cy="565150"/>
        </a:xfrm>
        <a:prstGeom prst="rect">
          <a:avLst/>
        </a:prstGeom>
        <a:solidFill>
          <a:schemeClr val="accent1">
            <a:lumMod val="20000"/>
            <a:lumOff val="80000"/>
          </a:schemeClr>
        </a:solidFill>
      </xdr:spPr>
    </xdr:pic>
    <xdr:clientData/>
  </xdr:twoCellAnchor>
  <xdr:twoCellAnchor>
    <xdr:from>
      <xdr:col>5</xdr:col>
      <xdr:colOff>88900</xdr:colOff>
      <xdr:row>4</xdr:row>
      <xdr:rowOff>127000</xdr:rowOff>
    </xdr:from>
    <xdr:to>
      <xdr:col>8</xdr:col>
      <xdr:colOff>476250</xdr:colOff>
      <xdr:row>7</xdr:row>
      <xdr:rowOff>82550</xdr:rowOff>
    </xdr:to>
    <xdr:sp macro="" textlink="">
      <xdr:nvSpPr>
        <xdr:cNvPr id="6" name="Rounded Rectangle 5"/>
        <xdr:cNvSpPr/>
      </xdr:nvSpPr>
      <xdr:spPr>
        <a:xfrm>
          <a:off x="3136900" y="863600"/>
          <a:ext cx="2216150" cy="508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95250</xdr:colOff>
      <xdr:row>4</xdr:row>
      <xdr:rowOff>101600</xdr:rowOff>
    </xdr:from>
    <xdr:to>
      <xdr:col>8</xdr:col>
      <xdr:colOff>469900</xdr:colOff>
      <xdr:row>7</xdr:row>
      <xdr:rowOff>82550</xdr:rowOff>
    </xdr:to>
    <xdr:pic>
      <xdr:nvPicPr>
        <xdr:cNvPr id="7"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0" y="838200"/>
          <a:ext cx="2203450" cy="533400"/>
        </a:xfrm>
        <a:prstGeom prst="rect">
          <a:avLst/>
        </a:prstGeom>
        <a:solidFill>
          <a:schemeClr val="accent1">
            <a:lumMod val="20000"/>
            <a:lumOff val="80000"/>
          </a:schemeClr>
        </a:solidFill>
      </xdr:spPr>
    </xdr:pic>
    <xdr:clientData/>
  </xdr:twoCellAnchor>
  <xdr:twoCellAnchor>
    <xdr:from>
      <xdr:col>9</xdr:col>
      <xdr:colOff>6350</xdr:colOff>
      <xdr:row>4</xdr:row>
      <xdr:rowOff>158750</xdr:rowOff>
    </xdr:from>
    <xdr:to>
      <xdr:col>12</xdr:col>
      <xdr:colOff>279400</xdr:colOff>
      <xdr:row>7</xdr:row>
      <xdr:rowOff>95250</xdr:rowOff>
    </xdr:to>
    <xdr:sp macro="" textlink="">
      <xdr:nvSpPr>
        <xdr:cNvPr id="8" name="Rounded Rectangle 7"/>
        <xdr:cNvSpPr/>
      </xdr:nvSpPr>
      <xdr:spPr>
        <a:xfrm>
          <a:off x="5492750" y="895350"/>
          <a:ext cx="2101850" cy="488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0</xdr:colOff>
      <xdr:row>4</xdr:row>
      <xdr:rowOff>114300</xdr:rowOff>
    </xdr:from>
    <xdr:to>
      <xdr:col>12</xdr:col>
      <xdr:colOff>279400</xdr:colOff>
      <xdr:row>7</xdr:row>
      <xdr:rowOff>88900</xdr:rowOff>
    </xdr:to>
    <xdr:pic>
      <xdr:nvPicPr>
        <xdr:cNvPr id="9" name="Picture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850900"/>
          <a:ext cx="2108200" cy="527050"/>
        </a:xfrm>
        <a:prstGeom prst="rect">
          <a:avLst/>
        </a:prstGeom>
        <a:solidFill>
          <a:schemeClr val="accent1">
            <a:lumMod val="20000"/>
            <a:lumOff val="80000"/>
          </a:schemeClr>
        </a:solidFill>
      </xdr:spPr>
    </xdr:pic>
    <xdr:clientData/>
  </xdr:twoCellAnchor>
  <xdr:twoCellAnchor>
    <xdr:from>
      <xdr:col>12</xdr:col>
      <xdr:colOff>469900</xdr:colOff>
      <xdr:row>4</xdr:row>
      <xdr:rowOff>114300</xdr:rowOff>
    </xdr:from>
    <xdr:to>
      <xdr:col>16</xdr:col>
      <xdr:colOff>196850</xdr:colOff>
      <xdr:row>7</xdr:row>
      <xdr:rowOff>107950</xdr:rowOff>
    </xdr:to>
    <xdr:sp macro="" textlink="">
      <xdr:nvSpPr>
        <xdr:cNvPr id="10" name="Rounded Rectangle 9"/>
        <xdr:cNvSpPr/>
      </xdr:nvSpPr>
      <xdr:spPr>
        <a:xfrm>
          <a:off x="7785100" y="850900"/>
          <a:ext cx="2165350" cy="546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450850</xdr:colOff>
      <xdr:row>4</xdr:row>
      <xdr:rowOff>120650</xdr:rowOff>
    </xdr:from>
    <xdr:to>
      <xdr:col>16</xdr:col>
      <xdr:colOff>215900</xdr:colOff>
      <xdr:row>7</xdr:row>
      <xdr:rowOff>114300</xdr:rowOff>
    </xdr:to>
    <xdr:pic>
      <xdr:nvPicPr>
        <xdr:cNvPr id="11" name="Pictur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66050" y="857250"/>
          <a:ext cx="2203450" cy="546100"/>
        </a:xfrm>
        <a:prstGeom prst="rect">
          <a:avLst/>
        </a:prstGeom>
        <a:solidFill>
          <a:schemeClr val="accent1">
            <a:lumMod val="20000"/>
            <a:lumOff val="80000"/>
          </a:schemeClr>
        </a:solidFill>
      </xdr:spPr>
    </xdr:pic>
    <xdr:clientData/>
  </xdr:twoCellAnchor>
  <xdr:twoCellAnchor editAs="oneCell">
    <xdr:from>
      <xdr:col>0</xdr:col>
      <xdr:colOff>25400</xdr:colOff>
      <xdr:row>7</xdr:row>
      <xdr:rowOff>165101</xdr:rowOff>
    </xdr:from>
    <xdr:to>
      <xdr:col>3</xdr:col>
      <xdr:colOff>25400</xdr:colOff>
      <xdr:row>15</xdr:row>
      <xdr:rowOff>38100</xdr:rowOff>
    </xdr:to>
    <mc:AlternateContent xmlns:mc="http://schemas.openxmlformats.org/markup-compatibility/2006" xmlns:a14="http://schemas.microsoft.com/office/drawing/2010/main">
      <mc:Choice Requires="a14">
        <xdr:graphicFrame macro="">
          <xdr:nvGraphicFramePr>
            <xdr:cNvPr id="12"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25400" y="1454151"/>
              <a:ext cx="1828800"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15</xdr:row>
      <xdr:rowOff>50800</xdr:rowOff>
    </xdr:from>
    <xdr:to>
      <xdr:col>3</xdr:col>
      <xdr:colOff>25400</xdr:colOff>
      <xdr:row>28</xdr:row>
      <xdr:rowOff>180975</xdr:rowOff>
    </xdr:to>
    <mc:AlternateContent xmlns:mc="http://schemas.openxmlformats.org/markup-compatibility/2006" xmlns:a14="http://schemas.microsoft.com/office/drawing/2010/main">
      <mc:Choice Requires="a14">
        <xdr:graphicFrame macro="">
          <xdr:nvGraphicFramePr>
            <xdr:cNvPr id="13"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5400" y="281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29</xdr:row>
      <xdr:rowOff>12701</xdr:rowOff>
    </xdr:from>
    <xdr:to>
      <xdr:col>3</xdr:col>
      <xdr:colOff>31750</xdr:colOff>
      <xdr:row>38</xdr:row>
      <xdr:rowOff>107951</xdr:rowOff>
    </xdr:to>
    <mc:AlternateContent xmlns:mc="http://schemas.openxmlformats.org/markup-compatibility/2006" xmlns:a14="http://schemas.microsoft.com/office/drawing/2010/main">
      <mc:Choice Requires="a14">
        <xdr:graphicFrame macro="">
          <xdr:nvGraphicFramePr>
            <xdr:cNvPr id="14"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31750" y="535305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38</xdr:row>
      <xdr:rowOff>120650</xdr:rowOff>
    </xdr:from>
    <xdr:to>
      <xdr:col>3</xdr:col>
      <xdr:colOff>31750</xdr:colOff>
      <xdr:row>52</xdr:row>
      <xdr:rowOff>66675</xdr:rowOff>
    </xdr:to>
    <mc:AlternateContent xmlns:mc="http://schemas.openxmlformats.org/markup-compatibility/2006" xmlns:a14="http://schemas.microsoft.com/office/drawing/2010/main">
      <mc:Choice Requires="a14">
        <xdr:graphicFrame macro="">
          <xdr:nvGraphicFramePr>
            <xdr:cNvPr id="15" name="Product 3"/>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31750" y="711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8</xdr:row>
      <xdr:rowOff>0</xdr:rowOff>
    </xdr:from>
    <xdr:to>
      <xdr:col>10</xdr:col>
      <xdr:colOff>342900</xdr:colOff>
      <xdr:row>22</xdr:row>
      <xdr:rowOff>165100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361950</xdr:colOff>
      <xdr:row>8</xdr:row>
      <xdr:rowOff>0</xdr:rowOff>
    </xdr:from>
    <xdr:to>
      <xdr:col>18</xdr:col>
      <xdr:colOff>57150</xdr:colOff>
      <xdr:row>22</xdr:row>
      <xdr:rowOff>165100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82550</xdr:colOff>
      <xdr:row>8</xdr:row>
      <xdr:rowOff>0</xdr:rowOff>
    </xdr:from>
    <xdr:to>
      <xdr:col>25</xdr:col>
      <xdr:colOff>387350</xdr:colOff>
      <xdr:row>22</xdr:row>
      <xdr:rowOff>165100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31750</xdr:colOff>
      <xdr:row>23</xdr:row>
      <xdr:rowOff>0</xdr:rowOff>
    </xdr:from>
    <xdr:to>
      <xdr:col>10</xdr:col>
      <xdr:colOff>336550</xdr:colOff>
      <xdr:row>37</xdr:row>
      <xdr:rowOff>165100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368300</xdr:colOff>
      <xdr:row>23</xdr:row>
      <xdr:rowOff>0</xdr:rowOff>
    </xdr:from>
    <xdr:to>
      <xdr:col>18</xdr:col>
      <xdr:colOff>63500</xdr:colOff>
      <xdr:row>37</xdr:row>
      <xdr:rowOff>165100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88900</xdr:colOff>
      <xdr:row>23</xdr:row>
      <xdr:rowOff>6350</xdr:rowOff>
    </xdr:from>
    <xdr:to>
      <xdr:col>25</xdr:col>
      <xdr:colOff>393700</xdr:colOff>
      <xdr:row>37</xdr:row>
      <xdr:rowOff>171450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44450</xdr:colOff>
      <xdr:row>38</xdr:row>
      <xdr:rowOff>19050</xdr:rowOff>
    </xdr:from>
    <xdr:to>
      <xdr:col>10</xdr:col>
      <xdr:colOff>349250</xdr:colOff>
      <xdr:row>53</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381000</xdr:colOff>
      <xdr:row>38</xdr:row>
      <xdr:rowOff>6350</xdr:rowOff>
    </xdr:from>
    <xdr:to>
      <xdr:col>18</xdr:col>
      <xdr:colOff>76200</xdr:colOff>
      <xdr:row>52</xdr:row>
      <xdr:rowOff>171450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88900</xdr:colOff>
      <xdr:row>38</xdr:row>
      <xdr:rowOff>6350</xdr:rowOff>
    </xdr:from>
    <xdr:to>
      <xdr:col>25</xdr:col>
      <xdr:colOff>393700</xdr:colOff>
      <xdr:row>52</xdr:row>
      <xdr:rowOff>171450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38100</xdr:colOff>
      <xdr:row>53</xdr:row>
      <xdr:rowOff>25400</xdr:rowOff>
    </xdr:from>
    <xdr:to>
      <xdr:col>10</xdr:col>
      <xdr:colOff>342900</xdr:colOff>
      <xdr:row>68</xdr:row>
      <xdr:rowOff>6350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jumia%20assign%20done.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52.604624421299" createdVersion="6" refreshedVersion="6" minRefreshableVersion="3" recordCount="116">
  <cacheSource type="worksheet">
    <worksheetSource ref="A1:K1048576" sheet="jumia assign done" r:id="rId2"/>
  </cacheSource>
  <cacheFields count="11">
    <cacheField name="Product" numFmtId="0">
      <sharedItems containsBlank="1"/>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ntainsBlank="1" count="4">
        <s v="Medium"/>
        <s v="high"/>
        <s v="Low"/>
        <m/>
      </sharedItems>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acheField>
    <cacheField name="Rating Category" numFmtId="0">
      <sharedItems containsBlank="1" count="5">
        <s v="Excellent"/>
        <s v="Average"/>
        <s v="Not Provided"/>
        <s v="Poo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053.971132754632" createdVersion="6" refreshedVersion="6" minRefreshableVersion="3" recordCount="115">
  <cacheSource type="worksheet">
    <worksheetSource ref="A1:K1048576" sheet="jumia assign done"/>
  </cacheSource>
  <cacheFields count="11">
    <cacheField name="Product" numFmtId="0">
      <sharedItems containsBlank="1"/>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ount="103">
        <n v="0.38954908025394758"/>
        <n v="0.20662598081952921"/>
        <n v="4.1362530413625302E-2"/>
        <n v="8.8449848024316116E-2"/>
        <n v="0.18924033522573669"/>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593E-2"/>
        <n v="0.36244541484716158"/>
        <n v="2.6684456304202801E-2"/>
        <n v="0.41322314049586778"/>
        <n v="0.32160804020100503"/>
        <n v="0.48"/>
        <n v="0.54500000000000004"/>
        <n v="0.21543408360128619"/>
        <n v="0.38461538461538464"/>
        <n v="0.5"/>
        <n v="0.34254143646408841"/>
        <n v="0.45929968167348795"/>
        <n v="0.3379389752446747"/>
        <n v="0.42369263607257202"/>
        <n v="0.50049999999999994"/>
        <n v="0.49237029501525942"/>
        <n v="0.34"/>
        <n v="0.45424476295479604"/>
        <n v="0.37468354430379747"/>
        <n v="0.34228187919463088"/>
        <n v="0.49010416666666667"/>
        <n v="0.46637265711135611"/>
        <n v="0.37704918032786883"/>
        <n v="0.47086521483225424"/>
        <n v="0.34814814814814815"/>
        <n v="0.20020020020020021"/>
        <n v="0.4050632911392405"/>
        <n v="0.49010848755583919"/>
        <n v="0.11222222222222222"/>
        <n v="0.46801346801346799"/>
        <n v="0.47952345495160087"/>
        <n v="0.42499999999999999"/>
        <n v="0.49012158054711247"/>
        <n v="0.42727272727272725"/>
        <n v="0.42452830188679247"/>
        <n v="0.46666666666666667"/>
        <n v="0.47247247247247248"/>
        <n v="0.48979591836734693"/>
        <n v="0.43381535038932145"/>
        <n v="0.41744186046511628"/>
        <n v="0.44555555555555554"/>
        <n v="0.53549695740365111"/>
        <n v="0.49026345933562426"/>
        <n v="0.3508500772797527"/>
        <n v="0.40701219512195119"/>
        <n v="0.45428571428571429"/>
        <n v="0.42691029900332228"/>
        <n v="0.51461988304093564"/>
        <n v="0.48995363214837712"/>
        <n v="0.5220588235294118"/>
        <n v="0.50166666666666671"/>
        <n v="0.22135416666666666"/>
        <n v="0.48975791433891991"/>
        <n v="0.48971193415637859"/>
        <n v="0.48888888888888887"/>
        <n v="0.60515873015873012"/>
        <n v="0.64014466546112114"/>
        <n v="0.23846153846153847"/>
        <n v="0.45833333333333331"/>
        <n v="0.51570680628272247"/>
        <n v="0.52500000000000002"/>
        <n v="0.47187499999999999"/>
        <n v="0.47499999999999998"/>
        <m/>
      </sharedItems>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ntainsBlank="1"/>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ount="24">
        <n v="3"/>
        <n v="5"/>
        <s v="Not Provided"/>
        <n v="4"/>
        <n v="4.5999999999999996"/>
        <n v="3.8"/>
        <n v="2.5"/>
        <n v="2.1"/>
        <n v="4.3"/>
        <n v="4.5"/>
        <n v="4.7"/>
        <n v="4.0999999999999996"/>
        <n v="4.8"/>
        <n v="4.2"/>
        <n v="4.4000000000000004"/>
        <n v="2.9"/>
        <n v="2.2999999999999998"/>
        <n v="2.2000000000000002"/>
        <n v="2"/>
        <n v="2.8"/>
        <n v="2.6"/>
        <n v="2.7"/>
        <n v="3.3"/>
        <m/>
      </sharedItems>
    </cacheField>
    <cacheField name="Rating Categor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Windows User" refreshedDate="46054.405657175928" createdVersion="6" refreshedVersion="6" minRefreshableVersion="3" recordCount="114">
  <cacheSource type="worksheet">
    <worksheetSource ref="A1:K115" sheet="jumia assign done"/>
  </cacheSource>
  <cacheFields count="11">
    <cacheField name="Product" numFmtId="0">
      <sharedItems containsBlank="1" count="110">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Genebre 115 In 1 Screwdriver Repairing Tool Set For IPhone Cellphone Hand Tool"/>
        <s v="Cute Christmas Fence Garden Decorations For Holiday Home"/>
        <s v="Angle Measuring Tool Full Metal Multi Angle Measuring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m/>
      </sharedItems>
    </cacheField>
    <cacheField name="Current price" numFmtId="164">
      <sharedItems containsString="0" containsBlank="1" containsNumber="1" containsInteger="1" minValue="38" maxValue="3750"/>
    </cacheField>
    <cacheField name="old price" numFmtId="164">
      <sharedItems containsString="0" containsBlank="1" containsNumber="1" containsInteger="1" minValue="80" maxValue="6143"/>
    </cacheField>
    <cacheField name="discount corrected" numFmtId="0">
      <sharedItems containsString="0" containsBlank="1" containsNumber="1" minValue="1.2638230647709321E-2" maxValue="0.64014466546112114" count="103">
        <n v="0.38954908025394758"/>
        <n v="0.20662598081952921"/>
        <n v="4.1362530413625302E-2"/>
        <n v="8.8449848024316116E-2"/>
        <n v="0.18924033522573669"/>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593E-2"/>
        <n v="0.36244541484716158"/>
        <n v="2.6684456304202801E-2"/>
        <n v="0.41322314049586778"/>
        <n v="0.32160804020100503"/>
        <n v="0.48"/>
        <n v="0.54500000000000004"/>
        <n v="0.21543408360128619"/>
        <n v="0.38461538461538464"/>
        <n v="0.5"/>
        <n v="0.34254143646408841"/>
        <n v="0.45929968167348795"/>
        <n v="0.3379389752446747"/>
        <n v="0.42369263607257202"/>
        <n v="0.50049999999999994"/>
        <n v="0.49237029501525942"/>
        <n v="0.34"/>
        <n v="0.45424476295479604"/>
        <n v="0.37468354430379747"/>
        <n v="0.34228187919463088"/>
        <n v="0.49010416666666667"/>
        <n v="0.46637265711135611"/>
        <n v="0.37704918032786883"/>
        <n v="0.47086521483225424"/>
        <n v="0.34814814814814815"/>
        <n v="0.20020020020020021"/>
        <n v="0.4050632911392405"/>
        <n v="0.49010848755583919"/>
        <n v="0.11222222222222222"/>
        <n v="0.46801346801346799"/>
        <n v="0.47952345495160087"/>
        <n v="0.42499999999999999"/>
        <n v="0.49012158054711247"/>
        <n v="0.42727272727272725"/>
        <n v="0.42452830188679247"/>
        <n v="0.46666666666666667"/>
        <n v="0.47247247247247248"/>
        <n v="0.48979591836734693"/>
        <n v="0.43381535038932145"/>
        <n v="0.41744186046511628"/>
        <n v="0.44555555555555554"/>
        <n v="0.53549695740365111"/>
        <n v="0.49026345933562426"/>
        <n v="0.3508500772797527"/>
        <n v="0.40701219512195119"/>
        <n v="0.45428571428571429"/>
        <n v="0.42691029900332228"/>
        <n v="0.51461988304093564"/>
        <n v="0.48995363214837712"/>
        <n v="0.5220588235294118"/>
        <n v="0.50166666666666671"/>
        <n v="0.22135416666666666"/>
        <n v="0.48975791433891991"/>
        <n v="0.48971193415637859"/>
        <n v="0.48888888888888887"/>
        <n v="0.60515873015873012"/>
        <n v="0.64014466546112114"/>
        <n v="0.23846153846153847"/>
        <n v="0.45833333333333331"/>
        <n v="0.51570680628272247"/>
        <n v="0.52500000000000002"/>
        <n v="0.47187499999999999"/>
        <n v="0.47499999999999998"/>
        <m/>
      </sharedItems>
      <fieldGroup base="3">
        <rangePr startNum="1.2638230647709321E-2" endNum="0.64014466546112114" groupInterval="0.1"/>
        <groupItems count="9">
          <s v="(blank)"/>
          <s v="0.0126382306477093-0.112638230647709"/>
          <s v="0.112638230647709-0.212638230647709"/>
          <s v="0.212638230647709-0.312638230647709"/>
          <s v="0.312638230647709-0.412638230647709"/>
          <s v="0.412638230647709-0.512638230647709"/>
          <s v="0.512638230647709-0.612638230647709"/>
          <s v="0.612638230647709-0.712638230647709"/>
          <s v="&gt;0.712638230647709"/>
        </groupItems>
      </fieldGroup>
    </cacheField>
    <cacheField name="Discount" numFmtId="0">
      <sharedItems containsString="0" containsBlank="1" containsNumber="1" minValue="0.01" maxValue="0.64"/>
    </cacheField>
    <cacheField name="Discount Amount(Kshs)" numFmtId="164">
      <sharedItems containsString="0" containsBlank="1" containsNumber="1" containsInteger="1" minValue="24" maxValue="2585"/>
    </cacheField>
    <cacheField name="Discount Category" numFmtId="164">
      <sharedItems count="3">
        <s v="Medium"/>
        <s v="Low"/>
        <s v="high"/>
      </sharedItems>
    </cacheField>
    <cacheField name="Review" numFmtId="0">
      <sharedItems containsString="0" containsBlank="1" containsNumber="1" containsInteger="1" minValue="-69" maxValue="0"/>
    </cacheField>
    <cacheField name="Review corrected" numFmtId="0">
      <sharedItems containsString="0" containsBlank="1" containsNumber="1" containsInteger="1" minValue="0" maxValue="69"/>
    </cacheField>
    <cacheField name="Rating" numFmtId="0">
      <sharedItems containsBlank="1" containsMixedTypes="1" containsNumber="1" minValue="2" maxValue="5"/>
    </cacheField>
    <cacheField name="Rating Category" numFmtId="0">
      <sharedItems containsBlank="1" count="5">
        <s v="Average"/>
        <s v="Excellent"/>
        <s v="Not Provided"/>
        <s v="Poor"/>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6">
  <r>
    <s v="115  Piece Set Of Multifunctional Precision Screwdrivers"/>
    <n v="950"/>
    <n v="1525"/>
    <n v="0.37704918032786883"/>
    <n v="0.38"/>
    <n v="575"/>
    <x v="0"/>
    <n v="-2"/>
    <n v="2"/>
    <n v="4.5"/>
    <x v="0"/>
  </r>
  <r>
    <s v="Metal Decorative Hooks Key Hangers Entryway Wall Hooks Towel Hooks - Home"/>
    <n v="527"/>
    <n v="999"/>
    <n v="0.47247247247247248"/>
    <n v="0.47"/>
    <n v="472"/>
    <x v="1"/>
    <n v="-14"/>
    <n v="14"/>
    <n v="4.0999999999999996"/>
    <x v="1"/>
  </r>
  <r>
    <s v="Portable Mini Cordless Car Vacuum Cleaner - Blue"/>
    <n v="2199"/>
    <n v="2923"/>
    <n v="0.24769072870338693"/>
    <n v="0.25"/>
    <n v="724"/>
    <x v="0"/>
    <n v="-24"/>
    <n v="24"/>
    <n v="4.5999999999999996"/>
    <x v="0"/>
  </r>
  <r>
    <s v="Weighing Scale Digital Bathroom Body Fat Scale USB-Black"/>
    <n v="1580"/>
    <n v="2499"/>
    <n v="0.36774709883953582"/>
    <n v="0.37"/>
    <n v="919"/>
    <x v="0"/>
    <n v="-7"/>
    <n v="7"/>
    <n v="4.7"/>
    <x v="0"/>
  </r>
  <r>
    <s v="Portable Home Small Air Humidifier 3-Speed Fan - Green"/>
    <n v="1740"/>
    <n v="2356"/>
    <n v="0.26146010186757218"/>
    <n v="0.26"/>
    <n v="616"/>
    <x v="0"/>
    <n v="-5"/>
    <n v="5"/>
    <n v="4.8"/>
    <x v="0"/>
  </r>
  <r>
    <s v="220V 60W Electric Soldering Iron Kits With Tools, Tips, And Multimeter"/>
    <n v="2999"/>
    <n v="3290"/>
    <n v="8.8449848024316116E-2"/>
    <n v="0.09"/>
    <n v="291"/>
    <x v="2"/>
    <n v="-15"/>
    <n v="15"/>
    <n v="4"/>
    <x v="1"/>
  </r>
  <r>
    <s v="137 Pieces Cake Decorating Tool Set Baking Supplies"/>
    <n v="2319"/>
    <n v="3032"/>
    <n v="0.23515831134564644"/>
    <n v="0.24"/>
    <n v="713"/>
    <x v="0"/>
    <n v="-55"/>
    <n v="55"/>
    <n v="4.5999999999999996"/>
    <x v="0"/>
  </r>
  <r>
    <s v="Desk Foldable Fan Adjustable Fan Strong Wind 3 Gear Usb"/>
    <n v="988"/>
    <n v="1580"/>
    <n v="0.37468354430379747"/>
    <n v="0.37"/>
    <n v="592"/>
    <x v="0"/>
    <n v="-2"/>
    <n v="2"/>
    <n v="4"/>
    <x v="1"/>
  </r>
  <r>
    <s v="LASA FOLDING TABLE SERVING STAND"/>
    <n v="1274"/>
    <n v="2800"/>
    <n v="0.54500000000000004"/>
    <n v="0.55000000000000004"/>
    <n v="1526"/>
    <x v="1"/>
    <n v="-5"/>
    <n v="5"/>
    <n v="4.8"/>
    <x v="0"/>
  </r>
  <r>
    <s v="13 In 1 Home Repair Tools Box Kit Set"/>
    <n v="1600"/>
    <n v="2929"/>
    <n v="0.45373847729600547"/>
    <n v="0.45"/>
    <n v="1329"/>
    <x v="1"/>
    <n v="-5"/>
    <n v="5"/>
    <n v="3.8"/>
    <x v="1"/>
  </r>
  <r>
    <s v="Genebre 115 In 1 Screwdriver Repairing Tool Set For IPhone Cellphone Hand Tool"/>
    <n v="799"/>
    <n v="999"/>
    <n v="0.20020020020020021"/>
    <n v="0.2"/>
    <n v="200"/>
    <x v="0"/>
    <n v="-12"/>
    <n v="12"/>
    <n v="4.0999999999999996"/>
    <x v="1"/>
  </r>
  <r>
    <s v="100 Pcs Crochet Hook Tool Set Knitting Hook Set With Box"/>
    <n v="990"/>
    <n v="1500"/>
    <n v="0.34"/>
    <n v="0.34"/>
    <n v="510"/>
    <x v="0"/>
    <n v="-39"/>
    <n v="39"/>
    <n v="4.7"/>
    <x v="0"/>
  </r>
  <r>
    <s v="40cm Gold DIY Acrylic Wall Sticker Clock"/>
    <n v="552"/>
    <n v="1035"/>
    <n v="0.46666666666666667"/>
    <n v="0.47"/>
    <n v="483"/>
    <x v="1"/>
    <n v="-12"/>
    <n v="12"/>
    <n v="4.8"/>
    <x v="0"/>
  </r>
  <r>
    <s v="LASA Digital Thermometer And Hydrometer"/>
    <n v="501"/>
    <n v="860"/>
    <n v="0.41744186046511628"/>
    <n v="0.42"/>
    <n v="359"/>
    <x v="1"/>
    <n v="-6"/>
    <n v="6"/>
    <n v="4.5"/>
    <x v="0"/>
  </r>
  <r>
    <s v="Multifunction Laser Level With Adjustment Tripod"/>
    <n v="1680"/>
    <n v="2499"/>
    <n v="0.32773109243697479"/>
    <n v="0.33"/>
    <n v="819"/>
    <x v="0"/>
    <n v="-9"/>
    <n v="9"/>
    <n v="4.2"/>
    <x v="1"/>
  </r>
  <r>
    <s v="Anti-Skid Absorbent Insulation Coaster  For Home Office"/>
    <n v="332"/>
    <n v="684"/>
    <n v="0.51461988304093564"/>
    <n v="0.51"/>
    <n v="352"/>
    <x v="1"/>
    <n v="-2"/>
    <n v="2"/>
    <n v="5"/>
    <x v="0"/>
  </r>
  <r>
    <s v="Peacock  Throw Pillow Cushion Case For Home Car"/>
    <n v="195"/>
    <n v="360"/>
    <n v="0.45833333333333331"/>
    <n v="0.46"/>
    <n v="165"/>
    <x v="1"/>
    <n v="-2"/>
    <n v="2"/>
    <n v="5"/>
    <x v="0"/>
  </r>
  <r>
    <s v="LASA Aluminum Folding Truck Hand Cart - 68kg Max"/>
    <n v="2025"/>
    <n v="3971"/>
    <n v="0.49005288340468395"/>
    <n v="0.49"/>
    <n v="1946"/>
    <x v="1"/>
    <n v="-3"/>
    <n v="3"/>
    <n v="5"/>
    <x v="0"/>
  </r>
  <r>
    <s v="LED Wall Digital Alarm Clock Study Home 12 / 24H Clock Calendar"/>
    <n v="2999"/>
    <n v="3699"/>
    <n v="0.18924033522573669"/>
    <n v="0.19"/>
    <n v="700"/>
    <x v="2"/>
    <n v="-5"/>
    <n v="5"/>
    <n v="4.5999999999999996"/>
    <x v="0"/>
  </r>
  <r>
    <s v="3D Waterproof EVA Plastic Shower Curtain 1.8*2Mtrs"/>
    <n v="998"/>
    <n v="1966"/>
    <n v="0.49237029501525942"/>
    <n v="0.49"/>
    <n v="968"/>
    <x v="1"/>
    <n v="-44"/>
    <n v="44"/>
    <n v="4.5999999999999996"/>
    <x v="0"/>
  </r>
  <r>
    <s v="3PCS Single Head Knitting Crochet Sweater Needle Set"/>
    <n v="38"/>
    <n v="80"/>
    <n v="0.52500000000000002"/>
    <n v="0.53"/>
    <n v="42"/>
    <x v="1"/>
    <n v="-13"/>
    <n v="13"/>
    <n v="3.3"/>
    <x v="1"/>
  </r>
  <r>
    <s v="4pcs Bathroom/Kitchen Towel Rack,Roll Paper Holder,Towel Bars,Hook"/>
    <n v="1860"/>
    <n v="3220"/>
    <n v="0.42236024844720499"/>
    <n v="0.42"/>
    <n v="1360"/>
    <x v="1"/>
    <n v="0"/>
    <n v="0"/>
    <s v="Not Provided"/>
    <x v="2"/>
  </r>
  <r>
    <s v="LED Romantic Spaceship Starry Sky Projector,Children's Bedroom Night Light-Blue"/>
    <n v="880"/>
    <n v="1350"/>
    <n v="0.34814814814814815"/>
    <n v="0.35"/>
    <n v="470"/>
    <x v="0"/>
    <n v="-6"/>
    <n v="6"/>
    <n v="4"/>
    <x v="1"/>
  </r>
  <r>
    <s v="Foldable Overbed Table/Desk"/>
    <n v="1650"/>
    <n v="2150"/>
    <n v="0.23255813953488372"/>
    <n v="0.23"/>
    <n v="500"/>
    <x v="0"/>
    <n v="-14"/>
    <n v="14"/>
    <n v="4.4000000000000004"/>
    <x v="1"/>
  </r>
  <r>
    <s v="LASA 3 Tier Bamboo Shoe Bench Storage Shelf"/>
    <n v="2048"/>
    <n v="4500"/>
    <n v="0.54488888888888887"/>
    <n v="0.54"/>
    <n v="2452"/>
    <x v="1"/>
    <n v="-7"/>
    <n v="7"/>
    <n v="4.3"/>
    <x v="1"/>
  </r>
  <r>
    <s v="Electronic Digital Display Vernier Caliper"/>
    <n v="420"/>
    <n v="647"/>
    <n v="0.3508500772797527"/>
    <n v="0.35"/>
    <n v="227"/>
    <x v="0"/>
    <n v="-49"/>
    <n v="49"/>
    <n v="4.5999999999999996"/>
    <x v="0"/>
  </r>
  <r>
    <s v="Portable Wardrobe Nonwoven With 3 Hanging Rods And 6 Storage Shelves"/>
    <n v="2880"/>
    <n v="3520"/>
    <n v="0.18181818181818182"/>
    <n v="0.18"/>
    <n v="640"/>
    <x v="2"/>
    <n v="-12"/>
    <n v="12"/>
    <n v="3.8"/>
    <x v="1"/>
  </r>
  <r>
    <s v="12 Litre Black Insulated Lunch Box"/>
    <n v="1350"/>
    <n v="1990"/>
    <n v="0.32160804020100503"/>
    <n v="0.32"/>
    <n v="640"/>
    <x v="0"/>
    <n v="-13"/>
    <n v="13"/>
    <n v="3.8"/>
    <x v="1"/>
  </r>
  <r>
    <s v="52 Pieces Cake Decorating Tool Set Gift Kit Baking Supplies"/>
    <n v="1758"/>
    <n v="2499"/>
    <n v="0.2965186074429772"/>
    <n v="0.3"/>
    <n v="741"/>
    <x v="0"/>
    <n v="-20"/>
    <n v="20"/>
    <n v="4.0999999999999996"/>
    <x v="1"/>
  </r>
  <r>
    <s v="MultiFunctional Storage Rack Multi-layer Bookshelf"/>
    <n v="2200"/>
    <n v="4080"/>
    <n v="0.46078431372549017"/>
    <n v="0.46"/>
    <n v="1880"/>
    <x v="1"/>
    <n v="0"/>
    <n v="0"/>
    <s v="Not Provided"/>
    <x v="2"/>
  </r>
  <r>
    <s v="Exfoliate And Exfoliate Face Towel - Black"/>
    <n v="185"/>
    <n v="382"/>
    <n v="0.51570680628272247"/>
    <n v="0.52"/>
    <n v="197"/>
    <x v="1"/>
    <n v="-9"/>
    <n v="9"/>
    <n v="4.3"/>
    <x v="1"/>
  </r>
  <r>
    <s v="12 Litre Insulated Lunch Box Grey"/>
    <n v="980"/>
    <n v="1490"/>
    <n v="0.34228187919463088"/>
    <n v="0.34"/>
    <n v="510"/>
    <x v="0"/>
    <n v="-12"/>
    <n v="12"/>
    <n v="4.7"/>
    <x v="0"/>
  </r>
  <r>
    <s v="LED Eye Protection  Desk Lamp , Study, Reading, USB Fan - Double Pen Holder"/>
    <n v="1820"/>
    <n v="3490"/>
    <n v="0.47851002865329512"/>
    <n v="0.48"/>
    <n v="1670"/>
    <x v="1"/>
    <n v="-9"/>
    <n v="9"/>
    <n v="4.3"/>
    <x v="1"/>
  </r>
  <r>
    <s v="53Pcs/Set Yarn Knitting Crochet Hooks With Bag - Fortune Cat"/>
    <n v="1940"/>
    <n v="2650"/>
    <n v="0.26792452830188679"/>
    <n v="0.27"/>
    <n v="710"/>
    <x v="0"/>
    <n v="-20"/>
    <n v="20"/>
    <n v="4.7"/>
    <x v="0"/>
  </r>
  <r>
    <s v="53 Pieces/Set Yarn Knitting Crochet Hooks With Bag - Pansies"/>
    <n v="1980"/>
    <n v="2699"/>
    <n v="0.26639496109670247"/>
    <n v="0.27"/>
    <n v="719"/>
    <x v="0"/>
    <n v="-32"/>
    <n v="32"/>
    <n v="4.5"/>
    <x v="0"/>
  </r>
  <r>
    <s v="DIY File Folder, Office Drawer File Holder, Pen Holder, Desktop Storage Rack"/>
    <n v="1620"/>
    <n v="2690"/>
    <n v="0.39776951672862454"/>
    <n v="0.4"/>
    <n v="1070"/>
    <x v="0"/>
    <n v="-1"/>
    <n v="1"/>
    <n v="5"/>
    <x v="0"/>
  </r>
  <r>
    <s v="Classic Black Cat Cotton Hemp Pillow Case For Home Car"/>
    <n v="171"/>
    <n v="360"/>
    <n v="0.52500000000000002"/>
    <n v="0.53"/>
    <n v="189"/>
    <x v="1"/>
    <n v="-2"/>
    <n v="2"/>
    <n v="5"/>
    <x v="0"/>
  </r>
  <r>
    <s v="Punch-free Great Load Bearing Bathroom Storage Rack Wall Shelf-White"/>
    <n v="389"/>
    <n v="656"/>
    <n v="0.40701219512195119"/>
    <n v="0.41"/>
    <n v="267"/>
    <x v="1"/>
    <n v="-36"/>
    <n v="36"/>
    <n v="4.3"/>
    <x v="1"/>
  </r>
  <r>
    <s v="1/2/3 Seater Elastic Sofa Cover,Living Room/Home Decor Chair Cover-Grey"/>
    <n v="1800"/>
    <n v="2700"/>
    <n v="0.33333333333333331"/>
    <n v="0.38"/>
    <n v="900"/>
    <x v="0"/>
    <n v="-2"/>
    <n v="2"/>
    <n v="4.5"/>
    <x v="0"/>
  </r>
  <r>
    <s v="LASA Stainless Steel Double Wall Mount Soap Dispenser - 500ml"/>
    <n v="2750"/>
    <n v="4471"/>
    <n v="0.38492507269067322"/>
    <n v="0.38"/>
    <n v="1721"/>
    <x v="0"/>
    <n v="0"/>
    <n v="0"/>
    <s v="Not Provided"/>
    <x v="2"/>
  </r>
  <r>
    <s v="4M Float Switch Water Level Controller -Water Tank"/>
    <n v="475"/>
    <n v="931"/>
    <n v="0.48979591836734693"/>
    <n v="0.49"/>
    <n v="456"/>
    <x v="1"/>
    <n v="0"/>
    <n v="0"/>
    <s v="Not Provided"/>
    <x v="2"/>
  </r>
  <r>
    <s v="Modern Sofa Throw Pillow Cover-45x45cm-Blue&amp;Red"/>
    <n v="238"/>
    <n v="476"/>
    <n v="0.5"/>
    <n v="0.5"/>
    <n v="238"/>
    <x v="1"/>
    <n v="0"/>
    <n v="0"/>
    <s v="Not Provided"/>
    <x v="2"/>
  </r>
  <r>
    <s v="Balloon Insert, Birthday Party Balloon Set, PU Leather"/>
    <n v="610"/>
    <n v="1060"/>
    <n v="0.42452830188679247"/>
    <n v="0.42"/>
    <n v="450"/>
    <x v="1"/>
    <n v="0"/>
    <n v="0"/>
    <s v="Not Provided"/>
    <x v="2"/>
  </r>
  <r>
    <s v="Shower Cap Wide Elastic Band Cover Reusable Bashroom Cap"/>
    <n v="2132"/>
    <n v="2169"/>
    <n v="1.705855232826187E-2"/>
    <n v="0.02"/>
    <n v="37"/>
    <x v="2"/>
    <n v="0"/>
    <n v="0"/>
    <s v="Not Provided"/>
    <x v="2"/>
  </r>
  <r>
    <s v="Christmas Elk Fence Yard Lawn Decorations Cute For Holidays"/>
    <n v="999"/>
    <n v="2000"/>
    <n v="0.50049999999999994"/>
    <n v="0.5"/>
    <n v="1001"/>
    <x v="1"/>
    <n v="0"/>
    <n v="0"/>
    <s v="Not Provided"/>
    <x v="2"/>
  </r>
  <r>
    <s v="60W Hot Melt Glue Sprayer - Efficient And Stable Glue Dispensing"/>
    <n v="1190"/>
    <n v="1785"/>
    <n v="0.33333333333333331"/>
    <n v="0.33"/>
    <n v="595"/>
    <x v="0"/>
    <n v="0"/>
    <n v="0"/>
    <s v="Not Provided"/>
    <x v="2"/>
  </r>
  <r>
    <s v="Car Phone Charging Stand"/>
    <n v="671"/>
    <n v="1316"/>
    <n v="0.49012158054711247"/>
    <n v="0.49"/>
    <n v="645"/>
    <x v="1"/>
    <n v="0"/>
    <n v="0"/>
    <s v="Not Provided"/>
    <x v="2"/>
  </r>
  <r>
    <s v="2pcs Solar Street Light Flood Light Outdoor"/>
    <n v="1200"/>
    <n v="1950"/>
    <n v="0.38461538461538464"/>
    <n v="0.38"/>
    <n v="750"/>
    <x v="0"/>
    <n v="0"/>
    <n v="0"/>
    <s v="Not Provided"/>
    <x v="2"/>
  </r>
  <r>
    <s v="Creative Owl Shape Keychain Black"/>
    <n v="199"/>
    <n v="504"/>
    <n v="0.60515873015873012"/>
    <n v="0.61"/>
    <n v="305"/>
    <x v="1"/>
    <n v="0"/>
    <n v="0"/>
    <s v="Not Provided"/>
    <x v="2"/>
  </r>
  <r>
    <s v="Brush &amp; Paintbrush Cleaning Tool Pink"/>
    <n v="299"/>
    <n v="600"/>
    <n v="0.50166666666666671"/>
    <n v="0.5"/>
    <n v="301"/>
    <x v="1"/>
    <n v="0"/>
    <n v="0"/>
    <s v="Not Provided"/>
    <x v="2"/>
  </r>
  <r>
    <s v="Pen Grips For Kids Pen Grip Posture Correction Tool For Kids"/>
    <n v="1660"/>
    <n v="1699"/>
    <n v="2.2954679223072396E-2"/>
    <n v="0.02"/>
    <n v="39"/>
    <x v="2"/>
    <n v="0"/>
    <n v="0"/>
    <s v="Not Provided"/>
    <x v="2"/>
  </r>
  <r>
    <s v="Pilates Cloth Bag Waterproof Durable High Capacity Purple"/>
    <n v="299"/>
    <n v="384"/>
    <n v="0.22135416666666666"/>
    <n v="0.22"/>
    <n v="85"/>
    <x v="0"/>
    <n v="0"/>
    <n v="0"/>
    <s v="Not Provided"/>
    <x v="2"/>
  </r>
  <r>
    <s v="Multi-purpose Rice Drainage Basket And Fruit And Vegetable Drainage Sieve"/>
    <n v="1459"/>
    <n v="1499"/>
    <n v="2.6684456304202801E-2"/>
    <n v="0.03"/>
    <n v="40"/>
    <x v="2"/>
    <n v="0"/>
    <n v="0"/>
    <s v="Not Provided"/>
    <x v="2"/>
  </r>
  <r>
    <s v="Cute Christmas Fence Garden Decorations For Holiday Home"/>
    <n v="799"/>
    <n v="1343"/>
    <n v="0.4050632911392405"/>
    <n v="0.41"/>
    <n v="544"/>
    <x v="1"/>
    <n v="0"/>
    <n v="0"/>
    <s v="Not Provided"/>
    <x v="2"/>
  </r>
  <r>
    <s v="Simple Metal Dog Art Sculpture Decoration For Home Office"/>
    <n v="499"/>
    <n v="900"/>
    <n v="0.44555555555555554"/>
    <n v="0.45"/>
    <n v="401"/>
    <x v="1"/>
    <n v="0"/>
    <n v="0"/>
    <s v="Not Provided"/>
    <x v="2"/>
  </r>
  <r>
    <s v="Christmas Fence Garden Decorations Outdoor For Holiday Home"/>
    <n v="699"/>
    <n v="1343"/>
    <n v="0.47952345495160087"/>
    <n v="0.48"/>
    <n v="644"/>
    <x v="1"/>
    <n v="0"/>
    <n v="0"/>
    <s v="Not Provided"/>
    <x v="2"/>
  </r>
  <r>
    <s v="Angle Measuring Tool Full Metal Multi Angle Measuring Tool"/>
    <n v="799"/>
    <n v="1567"/>
    <n v="0.49010848755583919"/>
    <n v="0.49"/>
    <n v="768"/>
    <x v="1"/>
    <n v="0"/>
    <n v="0"/>
    <s v="Not Provided"/>
    <x v="2"/>
  </r>
  <r>
    <s v="12V 19500rpm Handheld Electric Angle Grinder Tool - UK - Yellow/Black"/>
    <n v="2799"/>
    <n v="3810"/>
    <n v="0.26535433070866143"/>
    <n v="0.27"/>
    <n v="1011"/>
    <x v="0"/>
    <n v="0"/>
    <n v="0"/>
    <s v="Not Provided"/>
    <x v="2"/>
  </r>
  <r>
    <s v="5 Pieces/set Of Stainless Steel Induction Cooker Pots"/>
    <n v="2170"/>
    <n v="2500"/>
    <n v="0.13200000000000001"/>
    <n v="0.13"/>
    <n v="330"/>
    <x v="2"/>
    <n v="-6"/>
    <n v="6"/>
    <n v="2.5"/>
    <x v="3"/>
  </r>
  <r>
    <s v="Mythco 120COB Solar Wall Ligt With Motion Sensor And Remote Control 3 Modes"/>
    <n v="458"/>
    <n v="986"/>
    <n v="0.53549695740365111"/>
    <n v="0.54"/>
    <n v="528"/>
    <x v="1"/>
    <n v="-10"/>
    <n v="10"/>
    <n v="3"/>
    <x v="1"/>
  </r>
  <r>
    <s v="5-PCS Stainless Steel Cooking Pot Set With Steamed Slices"/>
    <n v="2115"/>
    <n v="4700"/>
    <n v="0.55000000000000004"/>
    <n v="0.55000000000000004"/>
    <n v="2585"/>
    <x v="1"/>
    <n v="-13"/>
    <n v="13"/>
    <n v="2.1"/>
    <x v="3"/>
  </r>
  <r>
    <s v="120W Cordless Vacuum Cleaners Handheld Electric Vacuum Cleaner"/>
    <n v="445"/>
    <n v="873"/>
    <n v="0.49026345933562426"/>
    <n v="0.49"/>
    <n v="428"/>
    <x v="1"/>
    <n v="-69"/>
    <n v="69"/>
    <n v="2.8"/>
    <x v="3"/>
  </r>
  <r>
    <s v="Intelligent  LED Body Sensor Wireless Lighting Night Light USB"/>
    <n v="325"/>
    <n v="680"/>
    <n v="0.5220588235294118"/>
    <n v="0.52"/>
    <n v="355"/>
    <x v="1"/>
    <n v="-15"/>
    <n v="15"/>
    <n v="2.7"/>
    <x v="3"/>
  </r>
  <r>
    <s v="VIC Wireless Vacuum Cleaner Dual Use For Home And Car 120W High Power Powerful"/>
    <n v="1220"/>
    <n v="1555"/>
    <n v="0.21543408360128619"/>
    <n v="0.22"/>
    <n v="335"/>
    <x v="0"/>
    <n v="-16"/>
    <n v="16"/>
    <n v="2.9"/>
    <x v="3"/>
  </r>
  <r>
    <s v="Artificial Potted Flowers Room Decorative Flowers (2 Pieces)"/>
    <n v="990"/>
    <n v="1814"/>
    <n v="0.45424476295479604"/>
    <n v="0.45"/>
    <n v="824"/>
    <x v="1"/>
    <n v="-6"/>
    <n v="6"/>
    <n v="2.2000000000000002"/>
    <x v="3"/>
  </r>
  <r>
    <s v="380ML USB Rechargeable Portable Small Blenders And Juicers"/>
    <n v="1000"/>
    <n v="2000"/>
    <n v="0.5"/>
    <n v="0.5"/>
    <n v="1000"/>
    <x v="1"/>
    <n v="-7"/>
    <n v="7"/>
    <n v="2.2999999999999998"/>
    <x v="3"/>
  </r>
  <r>
    <s v="32PCS Portable Cordless Drill Set With Cyclic Battery Drive -26 Variable Speed"/>
    <n v="3750"/>
    <n v="6143"/>
    <n v="0.38954908025394758"/>
    <n v="0.39"/>
    <n v="2393"/>
    <x v="0"/>
    <n v="-5"/>
    <n v="5"/>
    <n v="3"/>
    <x v="1"/>
  </r>
  <r>
    <s v="Agapeon Toothbrush Holder And Toothpaste Dispenser"/>
    <n v="382"/>
    <n v="700"/>
    <n v="0.45428571428571429"/>
    <n v="0.45"/>
    <n v="318"/>
    <x v="1"/>
    <n v="-17"/>
    <n v="17"/>
    <n v="2.6"/>
    <x v="3"/>
  </r>
  <r>
    <s v="Large Lazy Inflatable Sofa Chairs PVC Lounger Seat Bag"/>
    <n v="2300"/>
    <n v="3240"/>
    <n v="0.29012345679012347"/>
    <n v="0.28999999999999998"/>
    <n v="940"/>
    <x v="0"/>
    <n v="-5"/>
    <n v="5"/>
    <n v="3"/>
    <x v="1"/>
  </r>
  <r>
    <s v="Watercolour Gold Foil Textured Print Pillow Cover"/>
    <n v="345"/>
    <n v="602"/>
    <n v="0.42691029900332228"/>
    <n v="0.43"/>
    <n v="257"/>
    <x v="1"/>
    <n v="-6"/>
    <n v="6"/>
    <n v="2.2999999999999998"/>
    <x v="3"/>
  </r>
  <r>
    <s v="Wrought Iron Bathroom Shelf Wall Mounted Free Punch Toilet Rack"/>
    <n v="509"/>
    <n v="899"/>
    <n v="0.43381535038932145"/>
    <n v="0.43"/>
    <n v="390"/>
    <x v="1"/>
    <n v="-5"/>
    <n v="5"/>
    <n v="3"/>
    <x v="1"/>
  </r>
  <r>
    <s v="7-piece Set Of Storage Bags, Travel Storage Bags, Shoe Bags"/>
    <n v="968"/>
    <n v="1814"/>
    <n v="0.46637265711135611"/>
    <n v="0.47"/>
    <n v="846"/>
    <x v="1"/>
    <n v="-6"/>
    <n v="6"/>
    <n v="2.2000000000000002"/>
    <x v="3"/>
  </r>
  <r>
    <s v="Electric LED UV Mosquito Killer Lamp, Outdoor/Indoor Fly Killer Trap Light -USB"/>
    <n v="1570"/>
    <n v="2988"/>
    <n v="0.4745649263721553"/>
    <n v="0.47"/>
    <n v="1418"/>
    <x v="1"/>
    <n v="-7"/>
    <n v="7"/>
    <n v="2.1"/>
    <x v="3"/>
  </r>
  <r>
    <s v="2PCS/LOT Solar LED Outdoor Intelligent Light Controlled Wall Lamp"/>
    <n v="790"/>
    <n v="1485"/>
    <n v="0.46801346801346799"/>
    <n v="0.47"/>
    <n v="695"/>
    <x v="1"/>
    <n v="0"/>
    <n v="0"/>
    <s v="Not Provided"/>
    <x v="2"/>
  </r>
  <r>
    <s v="3PCS Rotary Scraper Thermomix For Kitchen"/>
    <n v="690"/>
    <n v="1200"/>
    <n v="0.42499999999999999"/>
    <n v="0.43"/>
    <n v="510"/>
    <x v="1"/>
    <n v="0"/>
    <n v="0"/>
    <s v="Not Provided"/>
    <x v="2"/>
  </r>
  <r>
    <s v="Cushion Silicone Butt Cushion Summer Ice Cushion Honeycomb Gel Cushion"/>
    <n v="1732"/>
    <n v="1799"/>
    <n v="3.7242912729294052E-2"/>
    <n v="0.04"/>
    <n v="67"/>
    <x v="2"/>
    <n v="0"/>
    <n v="0"/>
    <s v="Not Provided"/>
    <x v="2"/>
  </r>
  <r>
    <s v="7PCS Silicone Thumb Knife Finger Protector Vegetable Harvesting Knife"/>
    <n v="230"/>
    <n v="450"/>
    <n v="0.48888888888888887"/>
    <n v="0.49"/>
    <n v="220"/>
    <x v="1"/>
    <n v="0"/>
    <n v="0"/>
    <s v="Not Provided"/>
    <x v="2"/>
  </r>
  <r>
    <s v="Memory Foam Neck Pillow Cover, With Pillow Core - 50*30cm"/>
    <n v="1189"/>
    <n v="2199"/>
    <n v="0.45929968167348795"/>
    <n v="0.46"/>
    <n v="1010"/>
    <x v="1"/>
    <n v="-1"/>
    <n v="1"/>
    <n v="3"/>
    <x v="1"/>
  </r>
  <r>
    <s v="Bedroom Simple Floor Hanging Clothes Rack Single Pole Hat Rack - White"/>
    <n v="979"/>
    <n v="1920"/>
    <n v="0.49010416666666667"/>
    <n v="0.49"/>
    <n v="941"/>
    <x v="1"/>
    <n v="-1"/>
    <n v="1"/>
    <n v="5"/>
    <x v="0"/>
  </r>
  <r>
    <s v="5m Waterproof Spherical LED String Lights Outdoor Ball Chain Lights Party Lighting Decoration Adjustable"/>
    <n v="1460"/>
    <n v="2290"/>
    <n v="0.36244541484716158"/>
    <n v="0.36"/>
    <n v="830"/>
    <x v="0"/>
    <n v="0"/>
    <n v="0"/>
    <s v="Not Provided"/>
    <x v="2"/>
  </r>
  <r>
    <s v="2 Pairs Cowhide Split Leather Work Gloves.32â„‰ Or Above Welding Gloves"/>
    <n v="1666"/>
    <n v="1699"/>
    <n v="1.9423190111830489E-2"/>
    <n v="0.02"/>
    <n v="33"/>
    <x v="2"/>
    <n v="0"/>
    <n v="0"/>
    <s v="Not Provided"/>
    <x v="2"/>
  </r>
  <r>
    <s v="Household Pineapple Peeler Peeler"/>
    <n v="330"/>
    <n v="647"/>
    <n v="0.48995363214837712"/>
    <n v="0.49"/>
    <n v="317"/>
    <x v="1"/>
    <n v="-1"/>
    <n v="1"/>
    <n v="4"/>
    <x v="1"/>
  </r>
  <r>
    <s v="Office Chair Lumbar Back Support Spine Posture Correction Pillow Car Cushion"/>
    <n v="1466"/>
    <n v="1699"/>
    <n v="0.13713949381989404"/>
    <n v="0.14000000000000001"/>
    <n v="233"/>
    <x v="2"/>
    <n v="0"/>
    <n v="0"/>
    <s v="Not Provided"/>
    <x v="2"/>
  </r>
  <r>
    <s v="Cartoon Car Decoration Cute Individuality For Car Home Desk"/>
    <n v="274"/>
    <n v="537"/>
    <n v="0.48975791433891991"/>
    <n v="0.49"/>
    <n v="263"/>
    <x v="1"/>
    <n v="0"/>
    <n v="0"/>
    <s v="Not Provided"/>
    <x v="2"/>
  </r>
  <r>
    <s v="Outdoor Portable Water Bottle With Medicine Box - 600ML - Black"/>
    <n v="799"/>
    <n v="900"/>
    <n v="0.11222222222222222"/>
    <n v="0.11"/>
    <n v="101"/>
    <x v="2"/>
    <n v="0"/>
    <n v="0"/>
    <s v="Not Provided"/>
    <x v="2"/>
  </r>
  <r>
    <s v="Wall-Mounted Toothbrush Toothpaste Holder With Multiple Slots"/>
    <n v="1468"/>
    <n v="1699"/>
    <n v="0.13596233078281342"/>
    <n v="0.14000000000000001"/>
    <n v="231"/>
    <x v="2"/>
    <n v="0"/>
    <n v="0"/>
    <s v="Not Provided"/>
    <x v="2"/>
  </r>
  <r>
    <s v="Multifunctional Hanging Storage Box Storage Bag (4 Layers)"/>
    <n v="630"/>
    <n v="1100"/>
    <n v="0.42727272727272725"/>
    <n v="0.43"/>
    <n v="470"/>
    <x v="1"/>
    <n v="0"/>
    <n v="0"/>
    <s v="Not Provided"/>
    <x v="2"/>
  </r>
  <r>
    <s v="Wall Clock With Hidden Safe Box"/>
    <n v="850"/>
    <n v="1700"/>
    <n v="0.5"/>
    <n v="0.5"/>
    <n v="850"/>
    <x v="1"/>
    <n v="0"/>
    <n v="0"/>
    <s v="Not Provided"/>
    <x v="2"/>
  </r>
  <r>
    <s v="Portable Wine Table With Folding Round Table"/>
    <n v="1300"/>
    <n v="2500"/>
    <n v="0.48"/>
    <n v="0.48"/>
    <n v="1200"/>
    <x v="1"/>
    <n v="0"/>
    <n v="0"/>
    <s v="Not Provided"/>
    <x v="2"/>
  </r>
  <r>
    <s v="Sewing Machine Needle Threader Stitch Insertion Tool Automatic Quick Sewing"/>
    <n v="105"/>
    <n v="200"/>
    <n v="0.47499999999999998"/>
    <n v="0.48"/>
    <n v="95"/>
    <x v="1"/>
    <n v="0"/>
    <n v="0"/>
    <s v="Not Provided"/>
    <x v="2"/>
  </r>
  <r>
    <s v="6 Layers Steel Pipe Assembling Dustproof Storage Shoe Cabinet"/>
    <n v="899"/>
    <n v="1699"/>
    <n v="0.47086521483225424"/>
    <n v="0.47"/>
    <n v="800"/>
    <x v="1"/>
    <n v="0"/>
    <n v="0"/>
    <s v="Not Provided"/>
    <x v="2"/>
  </r>
  <r>
    <s v="2PCS Ice Silk Square Cushion Cover Pillowcases - 65x65cm"/>
    <n v="1200"/>
    <n v="2400"/>
    <n v="0.5"/>
    <n v="0.5"/>
    <n v="1200"/>
    <x v="1"/>
    <n v="0"/>
    <n v="0"/>
    <s v="Not Provided"/>
    <x v="2"/>
  </r>
  <r>
    <s v="Wall Mount Automatic Toothpaste Dispenser Toothbrush Holder Toothpaste Squeezer"/>
    <n v="1526"/>
    <n v="1660"/>
    <n v="8.0722891566265054E-2"/>
    <n v="0.08"/>
    <n v="134"/>
    <x v="2"/>
    <n v="0"/>
    <n v="0"/>
    <s v="Not Provided"/>
    <x v="2"/>
  </r>
  <r>
    <s v="Portable Soap Dispenser Kitchen Detergent Press Box Kitchen Tools"/>
    <n v="1462"/>
    <n v="1499"/>
    <n v="2.4683122081387593E-2"/>
    <n v="0.02"/>
    <n v="37"/>
    <x v="2"/>
    <n v="0"/>
    <n v="0"/>
    <s v="Not Provided"/>
    <x v="2"/>
  </r>
  <r>
    <s v="4 Piece Coloured Stainless Steel Kitchenware Set"/>
    <n v="248"/>
    <n v="486"/>
    <n v="0.48971193415637859"/>
    <n v="0.49"/>
    <n v="238"/>
    <x v="1"/>
    <n v="0"/>
    <n v="0"/>
    <s v="Not Provided"/>
    <x v="2"/>
  </r>
  <r>
    <s v="Metal Wall Clock Silver Dial Crystal Jewelry Round Home Decoration Wall Clock"/>
    <n v="3546"/>
    <n v="3699"/>
    <n v="4.1362530413625302E-2"/>
    <n v="0.04"/>
    <n v="153"/>
    <x v="2"/>
    <n v="0"/>
    <n v="0"/>
    <s v="Not Provided"/>
    <x v="2"/>
  </r>
  <r>
    <s v="Baby Early Education Shape And Color Cognitive Training Toys"/>
    <n v="525"/>
    <n v="1029"/>
    <n v="0.48979591836734693"/>
    <n v="0.49"/>
    <n v="504"/>
    <x v="1"/>
    <n v="0"/>
    <n v="0"/>
    <s v="Not Provided"/>
    <x v="2"/>
  </r>
  <r>
    <s v="8in1 Screwdriver With LED Light"/>
    <n v="1080"/>
    <n v="1874"/>
    <n v="0.42369263607257202"/>
    <n v="0.42"/>
    <n v="794"/>
    <x v="1"/>
    <n v="0"/>
    <n v="0"/>
    <s v="Not Provided"/>
    <x v="2"/>
  </r>
  <r>
    <s v="Konka Healty Electric Kettle, 24-hour Heat Preservation,1.5L,800W, White"/>
    <n v="3640"/>
    <n v="4588"/>
    <n v="0.20662598081952921"/>
    <n v="0.21"/>
    <n v="948"/>
    <x v="0"/>
    <n v="-1"/>
    <n v="1"/>
    <n v="5"/>
    <x v="0"/>
  </r>
  <r>
    <s v="9pcs Gas Mask, For Painting, Dust, Formaldehyde Grinding, Polishing"/>
    <n v="1420"/>
    <n v="2420"/>
    <n v="0.41322314049586778"/>
    <n v="0.41"/>
    <n v="1000"/>
    <x v="1"/>
    <n v="0"/>
    <n v="0"/>
    <s v="Not Provided"/>
    <x v="2"/>
  </r>
  <r>
    <s v="24 Grid Wall-mounted Sundries Organiser Fabric Closet Bag Storage Rack"/>
    <n v="1875"/>
    <n v="1899"/>
    <n v="1.2638230647709321E-2"/>
    <n v="0.01"/>
    <n v="24"/>
    <x v="2"/>
    <n v="0"/>
    <n v="0"/>
    <s v="Not Provided"/>
    <x v="2"/>
  </r>
  <r>
    <s v="1PC Refrigerator Food Seal Pocket Fridge Bags"/>
    <n v="198"/>
    <n v="260"/>
    <n v="0.23846153846153847"/>
    <n v="0.24"/>
    <n v="62"/>
    <x v="0"/>
    <n v="0"/>
    <n v="0"/>
    <s v="Not Provided"/>
    <x v="2"/>
  </r>
  <r>
    <s v="LED Solar Street Light-fake Camera"/>
    <n v="1150"/>
    <n v="1737"/>
    <n v="0.3379389752446747"/>
    <n v="0.34"/>
    <n v="587"/>
    <x v="0"/>
    <n v="0"/>
    <n v="0"/>
    <s v="Not Provided"/>
    <x v="2"/>
  </r>
  <r>
    <s v="Cartoon Embroidered Mini Towel Bear Cotton Wash Cloth Hand 4pcs"/>
    <n v="1190"/>
    <n v="1810"/>
    <n v="0.34254143646408841"/>
    <n v="0.34"/>
    <n v="620"/>
    <x v="0"/>
    <n v="0"/>
    <n v="0"/>
    <s v="Not Provided"/>
    <x v="2"/>
  </r>
  <r>
    <s v="Shower Nozzle Cleaning Unclogging Needle Mini Crevice Small Hole Cleaning Brush"/>
    <n v="1658"/>
    <n v="1699"/>
    <n v="2.4131842260153032E-2"/>
    <n v="0.02"/>
    <n v="41"/>
    <x v="2"/>
    <n v="0"/>
    <n v="0"/>
    <s v="Not Provided"/>
    <x v="2"/>
  </r>
  <r>
    <s v="Thickening Multipurpose Non Stick Easy To Clean Heat Resistant Spoon Pad"/>
    <n v="1768"/>
    <n v="1799"/>
    <n v="1.7231795441912175E-2"/>
    <n v="0.02"/>
    <n v="31"/>
    <x v="2"/>
    <n v="0"/>
    <n v="0"/>
    <s v="Not Provided"/>
    <x v="2"/>
  </r>
  <r>
    <s v="6 In 1 Bottle Can Opener Multifunctional Easy Opener"/>
    <n v="199"/>
    <n v="553"/>
    <n v="0.64014466546112114"/>
    <n v="0.64"/>
    <n v="354"/>
    <x v="1"/>
    <n v="0"/>
    <n v="0"/>
    <s v="Not Provided"/>
    <x v="2"/>
  </r>
  <r>
    <s v="Wall-mounted Sticker Punch-free Plug Fixer"/>
    <n v="450"/>
    <n v="900"/>
    <n v="0.5"/>
    <n v="0.5"/>
    <n v="450"/>
    <x v="1"/>
    <n v="-1"/>
    <n v="1"/>
    <n v="2"/>
    <x v="3"/>
  </r>
  <r>
    <s v="Black Simple Water Cup Wine Coaster Anti Slip Absorbent"/>
    <n v="169"/>
    <n v="320"/>
    <n v="0.47187499999999999"/>
    <n v="0.47"/>
    <n v="151"/>
    <x v="1"/>
    <n v="0"/>
    <n v="0"/>
    <s v="Not Provided"/>
    <x v="2"/>
  </r>
  <r>
    <m/>
    <m/>
    <m/>
    <m/>
    <m/>
    <m/>
    <x v="2"/>
    <m/>
    <m/>
    <m/>
    <x v="4"/>
  </r>
  <r>
    <m/>
    <m/>
    <m/>
    <m/>
    <m/>
    <m/>
    <x v="2"/>
    <m/>
    <m/>
    <m/>
    <x v="4"/>
  </r>
  <r>
    <m/>
    <m/>
    <m/>
    <m/>
    <m/>
    <m/>
    <x v="2"/>
    <m/>
    <m/>
    <m/>
    <x v="4"/>
  </r>
  <r>
    <m/>
    <m/>
    <m/>
    <m/>
    <m/>
    <m/>
    <x v="2"/>
    <m/>
    <m/>
    <m/>
    <x v="4"/>
  </r>
  <r>
    <m/>
    <m/>
    <m/>
    <m/>
    <m/>
    <m/>
    <x v="2"/>
    <m/>
    <m/>
    <m/>
    <x v="4"/>
  </r>
  <r>
    <m/>
    <m/>
    <m/>
    <m/>
    <m/>
    <m/>
    <x v="2"/>
    <m/>
    <m/>
    <m/>
    <x v="4"/>
  </r>
  <r>
    <m/>
    <m/>
    <m/>
    <m/>
    <m/>
    <m/>
    <x v="3"/>
    <m/>
    <m/>
    <m/>
    <x v="4"/>
  </r>
</pivotCacheRecords>
</file>

<file path=xl/pivotCache/pivotCacheRecords2.xml><?xml version="1.0" encoding="utf-8"?>
<pivotCacheRecords xmlns="http://schemas.openxmlformats.org/spreadsheetml/2006/main" xmlns:r="http://schemas.openxmlformats.org/officeDocument/2006/relationships" count="115">
  <r>
    <s v="32PCS Portable Cordless Drill Set With Cyclic Battery Drive -26 Variable Speed"/>
    <n v="3750"/>
    <n v="6143"/>
    <x v="0"/>
    <n v="0.39"/>
    <n v="2393"/>
    <s v="Medium"/>
    <n v="-5"/>
    <n v="5"/>
    <x v="0"/>
    <s v="Average"/>
  </r>
  <r>
    <s v="Konka Healty Electric Kettle, 24-hour Heat Preservation,1.5L,800W, White"/>
    <n v="3640"/>
    <n v="4588"/>
    <x v="1"/>
    <n v="0.21"/>
    <n v="948"/>
    <s v="Medium"/>
    <n v="-1"/>
    <n v="1"/>
    <x v="1"/>
    <s v="Excellent"/>
  </r>
  <r>
    <s v="Metal Wall Clock Silver Dial Crystal Jewelry Round Home Decoration Wall Clock"/>
    <n v="3546"/>
    <n v="3699"/>
    <x v="2"/>
    <n v="0.04"/>
    <n v="153"/>
    <s v="Low"/>
    <n v="0"/>
    <n v="0"/>
    <x v="2"/>
    <s v="Not Provided"/>
  </r>
  <r>
    <s v="220V 60W Electric Soldering Iron Kits With Tools, Tips, And Multimeter"/>
    <n v="2999"/>
    <n v="3290"/>
    <x v="3"/>
    <n v="0.09"/>
    <n v="291"/>
    <s v="Low"/>
    <n v="-15"/>
    <n v="15"/>
    <x v="3"/>
    <s v="Average"/>
  </r>
  <r>
    <s v="LED Wall Digital Alarm Clock Study Home 12 / 24H Clock Calendar"/>
    <n v="2999"/>
    <n v="3699"/>
    <x v="4"/>
    <n v="0.19"/>
    <n v="700"/>
    <s v="Low"/>
    <n v="-5"/>
    <n v="5"/>
    <x v="4"/>
    <s v="Excellent"/>
  </r>
  <r>
    <s v="Portable Wardrobe Nonwoven With 3 Hanging Rods And 6 Storage Shelves"/>
    <n v="2880"/>
    <n v="3520"/>
    <x v="5"/>
    <n v="0.18"/>
    <n v="640"/>
    <s v="Low"/>
    <n v="-12"/>
    <n v="12"/>
    <x v="5"/>
    <s v="Average"/>
  </r>
  <r>
    <s v="12V 19500rpm Handheld Electric Angle Grinder Tool - UK - Yellow/Black"/>
    <n v="2799"/>
    <n v="3810"/>
    <x v="6"/>
    <n v="0.27"/>
    <n v="1011"/>
    <s v="Medium"/>
    <n v="0"/>
    <n v="0"/>
    <x v="2"/>
    <s v="Not Provided"/>
  </r>
  <r>
    <s v="LASA Stainless Steel Double Wall Mount Soap Dispenser - 500ml"/>
    <n v="2750"/>
    <n v="4471"/>
    <x v="7"/>
    <n v="0.38"/>
    <n v="1721"/>
    <s v="Medium"/>
    <n v="0"/>
    <n v="0"/>
    <x v="2"/>
    <s v="Not Provided"/>
  </r>
  <r>
    <s v="137 Pieces Cake Decorating Tool Set Baking Supplies"/>
    <n v="2319"/>
    <n v="3032"/>
    <x v="8"/>
    <n v="0.24"/>
    <n v="713"/>
    <s v="Medium"/>
    <n v="-55"/>
    <n v="55"/>
    <x v="4"/>
    <s v="Excellent"/>
  </r>
  <r>
    <s v="Large Lazy Inflatable Sofa Chairs PVC Lounger Seat Bag"/>
    <n v="2300"/>
    <n v="3240"/>
    <x v="9"/>
    <n v="0.28999999999999998"/>
    <n v="940"/>
    <s v="Medium"/>
    <n v="-5"/>
    <n v="5"/>
    <x v="0"/>
    <s v="Average"/>
  </r>
  <r>
    <s v="MultiFunctional Storage Rack Multi-layer Bookshelf"/>
    <n v="2200"/>
    <n v="4080"/>
    <x v="10"/>
    <n v="0.46"/>
    <n v="1880"/>
    <s v="high"/>
    <n v="0"/>
    <n v="0"/>
    <x v="2"/>
    <s v="Not Provided"/>
  </r>
  <r>
    <s v="Portable Mini Cordless Car Vacuum Cleaner - Blue"/>
    <n v="2199"/>
    <n v="2923"/>
    <x v="11"/>
    <n v="0.25"/>
    <n v="724"/>
    <s v="Medium"/>
    <n v="-24"/>
    <n v="24"/>
    <x v="4"/>
    <s v="Excellent"/>
  </r>
  <r>
    <s v="5 Pieces/set Of Stainless Steel Induction Cooker Pots"/>
    <n v="2170"/>
    <n v="2500"/>
    <x v="12"/>
    <n v="0.13"/>
    <n v="330"/>
    <s v="Low"/>
    <n v="-6"/>
    <n v="6"/>
    <x v="6"/>
    <s v="Poor"/>
  </r>
  <r>
    <s v="Shower Cap Wide Elastic Band Cover Reusable Bashroom Cap"/>
    <n v="2132"/>
    <n v="2169"/>
    <x v="13"/>
    <n v="0.02"/>
    <n v="37"/>
    <s v="Low"/>
    <n v="0"/>
    <n v="0"/>
    <x v="2"/>
    <s v="Not Provided"/>
  </r>
  <r>
    <s v="5-PCS Stainless Steel Cooking Pot Set With Steamed Slices"/>
    <n v="2115"/>
    <n v="4700"/>
    <x v="14"/>
    <n v="0.55000000000000004"/>
    <n v="2585"/>
    <s v="high"/>
    <n v="-13"/>
    <n v="13"/>
    <x v="7"/>
    <s v="Poor"/>
  </r>
  <r>
    <s v="LASA 3 Tier Bamboo Shoe Bench Storage Shelf"/>
    <n v="2048"/>
    <n v="4500"/>
    <x v="15"/>
    <n v="0.54"/>
    <n v="2452"/>
    <s v="high"/>
    <n v="-7"/>
    <n v="7"/>
    <x v="8"/>
    <s v="Average"/>
  </r>
  <r>
    <s v="LASA Aluminum Folding Truck Hand Cart - 68kg Max"/>
    <n v="2025"/>
    <n v="3971"/>
    <x v="16"/>
    <n v="0.49"/>
    <n v="1946"/>
    <s v="high"/>
    <n v="-3"/>
    <n v="3"/>
    <x v="1"/>
    <s v="Excellent"/>
  </r>
  <r>
    <s v="53 Pieces/Set Yarn Knitting Crochet Hooks With Bag - Pansies"/>
    <n v="1980"/>
    <n v="2699"/>
    <x v="17"/>
    <n v="0.27"/>
    <n v="719"/>
    <s v="Medium"/>
    <n v="-32"/>
    <n v="32"/>
    <x v="9"/>
    <s v="Excellent"/>
  </r>
  <r>
    <s v="53Pcs/Set Yarn Knitting Crochet Hooks With Bag - Fortune Cat"/>
    <n v="1940"/>
    <n v="2650"/>
    <x v="18"/>
    <n v="0.27"/>
    <n v="710"/>
    <s v="Medium"/>
    <n v="-20"/>
    <n v="20"/>
    <x v="10"/>
    <s v="Excellent"/>
  </r>
  <r>
    <s v="24 Grid Wall-mounted Sundries Organiser Fabric Closet Bag Storage Rack"/>
    <n v="1875"/>
    <n v="1899"/>
    <x v="19"/>
    <n v="0.01"/>
    <n v="24"/>
    <s v="Low"/>
    <n v="0"/>
    <n v="0"/>
    <x v="2"/>
    <s v="Not Provided"/>
  </r>
  <r>
    <s v="4pcs Bathroom/Kitchen Towel Rack,Roll Paper Holder,Towel Bars,Hook"/>
    <n v="1860"/>
    <n v="3220"/>
    <x v="20"/>
    <n v="0.42"/>
    <n v="1360"/>
    <s v="high"/>
    <n v="0"/>
    <n v="0"/>
    <x v="2"/>
    <s v="Not Provided"/>
  </r>
  <r>
    <s v="LED Eye Protection  Desk Lamp , Study, Reading, USB Fan - Double Pen Holder"/>
    <n v="1820"/>
    <n v="3490"/>
    <x v="21"/>
    <n v="0.48"/>
    <n v="1670"/>
    <s v="high"/>
    <n v="-9"/>
    <n v="9"/>
    <x v="8"/>
    <s v="Average"/>
  </r>
  <r>
    <s v="1/2/3 Seater Elastic Sofa Cover,Living Room/Home Decor Chair Cover-Grey"/>
    <n v="1800"/>
    <n v="2700"/>
    <x v="22"/>
    <n v="0.38"/>
    <n v="900"/>
    <s v="Medium"/>
    <n v="-2"/>
    <n v="2"/>
    <x v="9"/>
    <s v="Excellent"/>
  </r>
  <r>
    <s v="Thickening Multipurpose Non Stick Easy To Clean Heat Resistant Spoon Pad"/>
    <n v="1768"/>
    <n v="1799"/>
    <x v="23"/>
    <n v="0.02"/>
    <n v="31"/>
    <s v="Low"/>
    <n v="0"/>
    <n v="0"/>
    <x v="2"/>
    <s v="Not Provided"/>
  </r>
  <r>
    <s v="52 Pieces Cake Decorating Tool Set Gift Kit Baking Supplies"/>
    <n v="1758"/>
    <n v="2499"/>
    <x v="24"/>
    <n v="0.3"/>
    <n v="741"/>
    <s v="Medium"/>
    <n v="-20"/>
    <n v="20"/>
    <x v="11"/>
    <s v="Average"/>
  </r>
  <r>
    <s v="Portable Home Small Air Humidifier 3-Speed Fan - Green"/>
    <n v="1740"/>
    <n v="2356"/>
    <x v="25"/>
    <n v="0.26"/>
    <n v="616"/>
    <s v="Medium"/>
    <n v="-5"/>
    <n v="5"/>
    <x v="12"/>
    <s v="Excellent"/>
  </r>
  <r>
    <s v="Cushion Silicone Butt Cushion Summer Ice Cushion Honeycomb Gel Cushion"/>
    <n v="1732"/>
    <n v="1799"/>
    <x v="26"/>
    <n v="0.04"/>
    <n v="67"/>
    <s v="Low"/>
    <n v="0"/>
    <n v="0"/>
    <x v="2"/>
    <s v="Not Provided"/>
  </r>
  <r>
    <s v="Multifunction Laser Level With Adjustment Tripod"/>
    <n v="1680"/>
    <n v="2499"/>
    <x v="27"/>
    <n v="0.33"/>
    <n v="819"/>
    <s v="Medium"/>
    <n v="-9"/>
    <n v="9"/>
    <x v="13"/>
    <s v="Average"/>
  </r>
  <r>
    <s v="2 Pairs Cowhide Split Leather Work Gloves.32â„‰ Or Above Welding Gloves"/>
    <n v="1666"/>
    <n v="1699"/>
    <x v="28"/>
    <n v="0.02"/>
    <n v="33"/>
    <s v="Low"/>
    <n v="0"/>
    <n v="0"/>
    <x v="2"/>
    <s v="Not Provided"/>
  </r>
  <r>
    <s v="Pen Grips For Kids Pen Grip Posture Correction Tool For Kids"/>
    <n v="1660"/>
    <n v="1699"/>
    <x v="29"/>
    <n v="0.02"/>
    <n v="39"/>
    <s v="Low"/>
    <n v="0"/>
    <n v="0"/>
    <x v="2"/>
    <s v="Not Provided"/>
  </r>
  <r>
    <s v="Shower Nozzle Cleaning Unclogging Needle Mini Crevice Small Hole Cleaning Brush"/>
    <n v="1658"/>
    <n v="1699"/>
    <x v="30"/>
    <n v="0.02"/>
    <n v="41"/>
    <s v="Low"/>
    <n v="0"/>
    <n v="0"/>
    <x v="2"/>
    <s v="Not Provided"/>
  </r>
  <r>
    <s v="Foldable Overbed Table/Desk"/>
    <n v="1650"/>
    <n v="2150"/>
    <x v="31"/>
    <n v="0.23"/>
    <n v="500"/>
    <s v="Medium"/>
    <n v="-14"/>
    <n v="14"/>
    <x v="14"/>
    <s v="Average"/>
  </r>
  <r>
    <s v="DIY File Folder, Office Drawer File Holder, Pen Holder, Desktop Storage Rack"/>
    <n v="1620"/>
    <n v="2690"/>
    <x v="32"/>
    <n v="0.4"/>
    <n v="1070"/>
    <s v="Medium"/>
    <n v="-1"/>
    <n v="1"/>
    <x v="1"/>
    <s v="Excellent"/>
  </r>
  <r>
    <s v="13 In 1 Home Repair Tools Box Kit Set"/>
    <n v="1600"/>
    <n v="2929"/>
    <x v="33"/>
    <n v="0.45"/>
    <n v="1329"/>
    <s v="high"/>
    <n v="-5"/>
    <n v="5"/>
    <x v="5"/>
    <s v="Average"/>
  </r>
  <r>
    <s v="Weighing Scale Digital Bathroom Body Fat Scale USB-Black"/>
    <n v="1580"/>
    <n v="2499"/>
    <x v="34"/>
    <n v="0.37"/>
    <n v="919"/>
    <s v="Medium"/>
    <n v="-7"/>
    <n v="7"/>
    <x v="10"/>
    <s v="Excellent"/>
  </r>
  <r>
    <s v="Electric LED UV Mosquito Killer Lamp, Outdoor/Indoor Fly Killer Trap Light -USB"/>
    <n v="1570"/>
    <n v="2988"/>
    <x v="35"/>
    <n v="0.47"/>
    <n v="1418"/>
    <s v="high"/>
    <n v="-7"/>
    <n v="7"/>
    <x v="7"/>
    <s v="Poor"/>
  </r>
  <r>
    <s v="Wall Mount Automatic Toothpaste Dispenser Toothbrush Holder Toothpaste Squeezer"/>
    <n v="1526"/>
    <n v="1660"/>
    <x v="36"/>
    <n v="0.08"/>
    <n v="134"/>
    <s v="Low"/>
    <n v="0"/>
    <n v="0"/>
    <x v="2"/>
    <s v="Not Provided"/>
  </r>
  <r>
    <s v="Wall-Mounted Toothbrush Toothpaste Holder With Multiple Slots"/>
    <n v="1468"/>
    <n v="1699"/>
    <x v="37"/>
    <n v="0.14000000000000001"/>
    <n v="231"/>
    <s v="Low"/>
    <n v="0"/>
    <n v="0"/>
    <x v="2"/>
    <s v="Not Provided"/>
  </r>
  <r>
    <s v="Office Chair Lumbar Back Support Spine Posture Correction Pillow Car Cushion"/>
    <n v="1466"/>
    <n v="1699"/>
    <x v="38"/>
    <n v="0.14000000000000001"/>
    <n v="233"/>
    <s v="Low"/>
    <n v="0"/>
    <n v="0"/>
    <x v="2"/>
    <s v="Not Provided"/>
  </r>
  <r>
    <s v="Portable Soap Dispenser Kitchen Detergent Press Box Kitchen Tools"/>
    <n v="1462"/>
    <n v="1499"/>
    <x v="39"/>
    <n v="0.02"/>
    <n v="37"/>
    <s v="Low"/>
    <n v="0"/>
    <n v="0"/>
    <x v="2"/>
    <s v="Not Provided"/>
  </r>
  <r>
    <s v="5m Waterproof Spherical LED String Lights Outdoor Ball Chain Lights Party Lighting Decoration Adjustable"/>
    <n v="1460"/>
    <n v="2290"/>
    <x v="40"/>
    <n v="0.36"/>
    <n v="830"/>
    <s v="Medium"/>
    <n v="0"/>
    <n v="0"/>
    <x v="2"/>
    <s v="Not Provided"/>
  </r>
  <r>
    <s v="Multi-purpose Rice Drainage Basket And Fruit And Vegetable Drainage Sieve"/>
    <n v="1459"/>
    <n v="1499"/>
    <x v="41"/>
    <n v="0.03"/>
    <n v="40"/>
    <s v="Low"/>
    <n v="0"/>
    <n v="0"/>
    <x v="2"/>
    <s v="Not Provided"/>
  </r>
  <r>
    <s v="9pcs Gas Mask, For Painting, Dust, Formaldehyde Grinding, Polishing"/>
    <n v="1420"/>
    <n v="2420"/>
    <x v="42"/>
    <n v="0.41"/>
    <n v="1000"/>
    <s v="high"/>
    <n v="0"/>
    <n v="0"/>
    <x v="2"/>
    <s v="Not Provided"/>
  </r>
  <r>
    <s v="12 Litre Black Insulated Lunch Box"/>
    <n v="1350"/>
    <n v="1990"/>
    <x v="43"/>
    <n v="0.32"/>
    <n v="640"/>
    <s v="Medium"/>
    <n v="-13"/>
    <n v="13"/>
    <x v="5"/>
    <s v="Average"/>
  </r>
  <r>
    <s v="Portable Wine Table With Folding Round Table"/>
    <n v="1300"/>
    <n v="2500"/>
    <x v="44"/>
    <n v="0.48"/>
    <n v="1200"/>
    <s v="high"/>
    <n v="0"/>
    <n v="0"/>
    <x v="2"/>
    <s v="Not Provided"/>
  </r>
  <r>
    <s v="LASA FOLDING TABLE SERVING STAND"/>
    <n v="1274"/>
    <n v="2800"/>
    <x v="45"/>
    <n v="0.55000000000000004"/>
    <n v="1526"/>
    <s v="high"/>
    <n v="-5"/>
    <n v="5"/>
    <x v="12"/>
    <s v="Excellent"/>
  </r>
  <r>
    <s v="VIC Wireless Vacuum Cleaner Dual Use For Home And Car 120W High Power Powerful"/>
    <n v="1220"/>
    <n v="1555"/>
    <x v="46"/>
    <n v="0.22"/>
    <n v="335"/>
    <s v="Medium"/>
    <n v="-16"/>
    <n v="16"/>
    <x v="15"/>
    <s v="Poor"/>
  </r>
  <r>
    <s v="2pcs Solar Street Light Flood Light Outdoor"/>
    <n v="1200"/>
    <n v="1950"/>
    <x v="47"/>
    <n v="0.38"/>
    <n v="750"/>
    <s v="Medium"/>
    <n v="0"/>
    <n v="0"/>
    <x v="2"/>
    <s v="Not Provided"/>
  </r>
  <r>
    <s v="2PCS Ice Silk Square Cushion Cover Pillowcases - 65x65cm"/>
    <n v="1200"/>
    <n v="2400"/>
    <x v="48"/>
    <n v="0.5"/>
    <n v="1200"/>
    <s v="high"/>
    <n v="0"/>
    <n v="0"/>
    <x v="2"/>
    <s v="Not Provided"/>
  </r>
  <r>
    <s v="60W Hot Melt Glue Sprayer - Efficient And Stable Glue Dispensing"/>
    <n v="1190"/>
    <n v="1785"/>
    <x v="22"/>
    <n v="0.33"/>
    <n v="595"/>
    <s v="Medium"/>
    <n v="0"/>
    <n v="0"/>
    <x v="2"/>
    <s v="Not Provided"/>
  </r>
  <r>
    <s v="Cartoon Embroidered Mini Towel Bear Cotton Wash Cloth Hand 4pcs"/>
    <n v="1190"/>
    <n v="1810"/>
    <x v="49"/>
    <n v="0.34"/>
    <n v="620"/>
    <s v="Medium"/>
    <n v="0"/>
    <n v="0"/>
    <x v="2"/>
    <s v="Not Provided"/>
  </r>
  <r>
    <s v="Memory Foam Neck Pillow Cover, With Pillow Core - 50*30cm"/>
    <n v="1189"/>
    <n v="2199"/>
    <x v="50"/>
    <n v="0.46"/>
    <n v="1010"/>
    <s v="high"/>
    <n v="-1"/>
    <n v="1"/>
    <x v="0"/>
    <s v="Average"/>
  </r>
  <r>
    <s v="LED Solar Street Light-fake Camera"/>
    <n v="1150"/>
    <n v="1737"/>
    <x v="51"/>
    <n v="0.34"/>
    <n v="587"/>
    <s v="Medium"/>
    <n v="0"/>
    <n v="0"/>
    <x v="2"/>
    <s v="Not Provided"/>
  </r>
  <r>
    <s v="8in1 Screwdriver With LED Light"/>
    <n v="1080"/>
    <n v="1874"/>
    <x v="52"/>
    <n v="0.42"/>
    <n v="794"/>
    <s v="high"/>
    <n v="0"/>
    <n v="0"/>
    <x v="2"/>
    <s v="Not Provided"/>
  </r>
  <r>
    <s v="380ML USB Rechargeable Portable Small Blenders And Juicers"/>
    <n v="1000"/>
    <n v="2000"/>
    <x v="48"/>
    <n v="0.5"/>
    <n v="1000"/>
    <s v="high"/>
    <n v="-7"/>
    <n v="7"/>
    <x v="16"/>
    <s v="Poor"/>
  </r>
  <r>
    <s v="Christmas Elk Fence Yard Lawn Decorations Cute For Holidays"/>
    <n v="999"/>
    <n v="2000"/>
    <x v="53"/>
    <n v="0.5"/>
    <n v="1001"/>
    <s v="high"/>
    <n v="0"/>
    <n v="0"/>
    <x v="2"/>
    <s v="Not Provided"/>
  </r>
  <r>
    <s v="3D Waterproof EVA Plastic Shower Curtain 1.8*2Mtrs"/>
    <n v="998"/>
    <n v="1966"/>
    <x v="54"/>
    <n v="0.49"/>
    <n v="968"/>
    <s v="high"/>
    <n v="-44"/>
    <n v="44"/>
    <x v="4"/>
    <s v="Excellent"/>
  </r>
  <r>
    <s v="100 Pcs Crochet Hook Tool Set Knitting Hook Set With Box"/>
    <n v="990"/>
    <n v="1500"/>
    <x v="55"/>
    <n v="0.34"/>
    <n v="510"/>
    <s v="Medium"/>
    <n v="-39"/>
    <n v="39"/>
    <x v="10"/>
    <s v="Excellent"/>
  </r>
  <r>
    <s v="Artificial Potted Flowers Room Decorative Flowers (2 Pieces)"/>
    <n v="990"/>
    <n v="1814"/>
    <x v="56"/>
    <n v="0.45"/>
    <n v="824"/>
    <s v="high"/>
    <n v="-6"/>
    <n v="6"/>
    <x v="17"/>
    <s v="Poor"/>
  </r>
  <r>
    <s v="Desk Foldable Fan Adjustable Fan Strong Wind 3 Gear Usb"/>
    <n v="988"/>
    <n v="1580"/>
    <x v="57"/>
    <n v="0.37"/>
    <n v="592"/>
    <s v="Medium"/>
    <n v="-2"/>
    <n v="2"/>
    <x v="3"/>
    <s v="Average"/>
  </r>
  <r>
    <s v="12 Litre Insulated Lunch Box Grey"/>
    <n v="980"/>
    <n v="1490"/>
    <x v="58"/>
    <n v="0.34"/>
    <n v="510"/>
    <s v="Medium"/>
    <n v="-12"/>
    <n v="12"/>
    <x v="10"/>
    <s v="Excellent"/>
  </r>
  <r>
    <s v="Bedroom Simple Floor Hanging Clothes Rack Single Pole Hat Rack - White"/>
    <n v="979"/>
    <n v="1920"/>
    <x v="59"/>
    <n v="0.49"/>
    <n v="941"/>
    <s v="high"/>
    <n v="-1"/>
    <n v="1"/>
    <x v="1"/>
    <s v="Excellent"/>
  </r>
  <r>
    <s v="7-piece Set Of Storage Bags, Travel Storage Bags, Shoe Bags"/>
    <n v="968"/>
    <n v="1814"/>
    <x v="60"/>
    <n v="0.47"/>
    <n v="846"/>
    <s v="high"/>
    <n v="-6"/>
    <n v="6"/>
    <x v="17"/>
    <s v="Poor"/>
  </r>
  <r>
    <s v="115  Piece Set Of Multifunctional Precision Screwdrivers"/>
    <n v="950"/>
    <n v="1525"/>
    <x v="61"/>
    <n v="0.38"/>
    <n v="575"/>
    <s v="Medium"/>
    <n v="-2"/>
    <n v="2"/>
    <x v="9"/>
    <s v="Excellent"/>
  </r>
  <r>
    <s v="6 Layers Steel Pipe Assembling Dustproof Storage Shoe Cabinet"/>
    <n v="899"/>
    <n v="1699"/>
    <x v="62"/>
    <n v="0.47"/>
    <n v="800"/>
    <s v="high"/>
    <n v="0"/>
    <n v="0"/>
    <x v="2"/>
    <s v="Not Provided"/>
  </r>
  <r>
    <s v="LED Romantic Spaceship Starry Sky Projector,Children's Bedroom Night Light-Blue"/>
    <n v="880"/>
    <n v="1350"/>
    <x v="63"/>
    <n v="0.35"/>
    <n v="470"/>
    <s v="Medium"/>
    <n v="-6"/>
    <n v="6"/>
    <x v="3"/>
    <s v="Average"/>
  </r>
  <r>
    <s v="Wall Clock With Hidden Safe Box"/>
    <n v="850"/>
    <n v="1700"/>
    <x v="48"/>
    <n v="0.5"/>
    <n v="850"/>
    <s v="high"/>
    <n v="0"/>
    <n v="0"/>
    <x v="2"/>
    <s v="Not Provided"/>
  </r>
  <r>
    <s v="Genebre 115 In 1 Screwdriver Repairing Tool Set For IPhone Cellphone Hand Tool"/>
    <n v="799"/>
    <n v="999"/>
    <x v="64"/>
    <n v="0.2"/>
    <n v="200"/>
    <s v="Medium"/>
    <n v="-12"/>
    <n v="12"/>
    <x v="11"/>
    <s v="Average"/>
  </r>
  <r>
    <s v="Cute Christmas Fence Garden Decorations For Holiday Home"/>
    <n v="799"/>
    <n v="1343"/>
    <x v="65"/>
    <n v="0.41"/>
    <n v="544"/>
    <s v="high"/>
    <n v="0"/>
    <n v="0"/>
    <x v="2"/>
    <s v="Not Provided"/>
  </r>
  <r>
    <s v="Angle Measuring Tool Full Metal Multi Angle Measuring Tool"/>
    <n v="799"/>
    <n v="1567"/>
    <x v="66"/>
    <n v="0.49"/>
    <n v="768"/>
    <s v="high"/>
    <n v="0"/>
    <n v="0"/>
    <x v="2"/>
    <s v="Not Provided"/>
  </r>
  <r>
    <s v="Outdoor Portable Water Bottle With Medicine Box - 600ML - Black"/>
    <n v="799"/>
    <n v="900"/>
    <x v="67"/>
    <n v="0.11"/>
    <n v="101"/>
    <s v="Low"/>
    <n v="0"/>
    <n v="0"/>
    <x v="2"/>
    <s v="Not Provided"/>
  </r>
  <r>
    <s v="2PCS/LOT Solar LED Outdoor Intelligent Light Controlled Wall Lamp"/>
    <n v="790"/>
    <n v="1485"/>
    <x v="68"/>
    <n v="0.47"/>
    <n v="695"/>
    <s v="high"/>
    <n v="0"/>
    <n v="0"/>
    <x v="2"/>
    <s v="Not Provided"/>
  </r>
  <r>
    <s v="Christmas Fence Garden Decorations Outdoor For Holiday Home"/>
    <n v="699"/>
    <n v="1343"/>
    <x v="69"/>
    <n v="0.48"/>
    <n v="644"/>
    <s v="high"/>
    <n v="0"/>
    <n v="0"/>
    <x v="2"/>
    <s v="Not Provided"/>
  </r>
  <r>
    <s v="3PCS Rotary Scraper Thermomix For Kitchen"/>
    <n v="690"/>
    <n v="1200"/>
    <x v="70"/>
    <n v="0.43"/>
    <n v="510"/>
    <s v="high"/>
    <n v="0"/>
    <n v="0"/>
    <x v="2"/>
    <s v="Not Provided"/>
  </r>
  <r>
    <s v="Car Phone Charging Stand"/>
    <n v="671"/>
    <n v="1316"/>
    <x v="71"/>
    <n v="0.49"/>
    <n v="645"/>
    <s v="high"/>
    <n v="0"/>
    <n v="0"/>
    <x v="2"/>
    <s v="Not Provided"/>
  </r>
  <r>
    <s v="Multifunctional Hanging Storage Box Storage Bag (4 Layers)"/>
    <n v="630"/>
    <n v="1100"/>
    <x v="72"/>
    <n v="0.43"/>
    <n v="470"/>
    <s v="high"/>
    <n v="0"/>
    <n v="0"/>
    <x v="2"/>
    <s v="Not Provided"/>
  </r>
  <r>
    <s v="Balloon Insert, Birthday Party Balloon Set, PU Leather"/>
    <n v="610"/>
    <n v="1060"/>
    <x v="73"/>
    <n v="0.42"/>
    <n v="450"/>
    <s v="high"/>
    <n v="0"/>
    <n v="0"/>
    <x v="2"/>
    <s v="Not Provided"/>
  </r>
  <r>
    <s v="40cm Gold DIY Acrylic Wall Sticker Clock"/>
    <n v="552"/>
    <n v="1035"/>
    <x v="74"/>
    <n v="0.47"/>
    <n v="483"/>
    <s v="high"/>
    <n v="-12"/>
    <n v="12"/>
    <x v="12"/>
    <s v="Excellent"/>
  </r>
  <r>
    <s v="Metal Decorative Hooks Key Hangers Entryway Wall Hooks Towel Hooks - Home"/>
    <n v="527"/>
    <n v="999"/>
    <x v="75"/>
    <n v="0.47"/>
    <n v="472"/>
    <s v="high"/>
    <n v="-14"/>
    <n v="14"/>
    <x v="11"/>
    <s v="Average"/>
  </r>
  <r>
    <s v="Baby Early Education Shape And Color Cognitive Training Toys"/>
    <n v="525"/>
    <n v="1029"/>
    <x v="76"/>
    <n v="0.49"/>
    <n v="504"/>
    <s v="high"/>
    <n v="0"/>
    <n v="0"/>
    <x v="2"/>
    <s v="Not Provided"/>
  </r>
  <r>
    <s v="Wrought Iron Bathroom Shelf Wall Mounted Free Punch Toilet Rack"/>
    <n v="509"/>
    <n v="899"/>
    <x v="77"/>
    <n v="0.43"/>
    <n v="390"/>
    <s v="high"/>
    <n v="-5"/>
    <n v="5"/>
    <x v="0"/>
    <s v="Average"/>
  </r>
  <r>
    <s v="LASA Digital Thermometer And Hydrometer"/>
    <n v="501"/>
    <n v="860"/>
    <x v="78"/>
    <n v="0.42"/>
    <n v="359"/>
    <s v="high"/>
    <n v="-6"/>
    <n v="6"/>
    <x v="9"/>
    <s v="Excellent"/>
  </r>
  <r>
    <s v="Simple Metal Dog Art Sculpture Decoration For Home Office"/>
    <n v="499"/>
    <n v="900"/>
    <x v="79"/>
    <n v="0.45"/>
    <n v="401"/>
    <s v="high"/>
    <n v="0"/>
    <n v="0"/>
    <x v="2"/>
    <s v="Not Provided"/>
  </r>
  <r>
    <s v="4M Float Switch Water Level Controller -Water Tank"/>
    <n v="475"/>
    <n v="931"/>
    <x v="76"/>
    <n v="0.49"/>
    <n v="456"/>
    <s v="high"/>
    <n v="0"/>
    <n v="0"/>
    <x v="2"/>
    <s v="Not Provided"/>
  </r>
  <r>
    <s v="Mythco 120COB Solar Wall Ligt With Motion Sensor And Remote Control 3 Modes"/>
    <n v="458"/>
    <n v="986"/>
    <x v="80"/>
    <n v="0.54"/>
    <n v="528"/>
    <s v="high"/>
    <n v="-10"/>
    <n v="10"/>
    <x v="0"/>
    <s v="Average"/>
  </r>
  <r>
    <s v="Wall-mounted Sticker Punch-free Plug Fixer"/>
    <n v="450"/>
    <n v="900"/>
    <x v="48"/>
    <n v="0.5"/>
    <n v="450"/>
    <s v="high"/>
    <n v="-1"/>
    <n v="1"/>
    <x v="18"/>
    <s v="Poor"/>
  </r>
  <r>
    <s v="120W Cordless Vacuum Cleaners Handheld Electric Vacuum Cleaner"/>
    <n v="445"/>
    <n v="873"/>
    <x v="81"/>
    <n v="0.49"/>
    <n v="428"/>
    <s v="high"/>
    <n v="-69"/>
    <n v="69"/>
    <x v="19"/>
    <s v="Poor"/>
  </r>
  <r>
    <s v="Electronic Digital Display Vernier Caliper"/>
    <n v="420"/>
    <n v="647"/>
    <x v="82"/>
    <n v="0.35"/>
    <n v="227"/>
    <s v="Medium"/>
    <n v="-49"/>
    <n v="49"/>
    <x v="4"/>
    <s v="Excellent"/>
  </r>
  <r>
    <s v="Punch-free Great Load Bearing Bathroom Storage Rack Wall Shelf-White"/>
    <n v="389"/>
    <n v="656"/>
    <x v="83"/>
    <n v="0.41"/>
    <n v="267"/>
    <s v="high"/>
    <n v="-36"/>
    <n v="36"/>
    <x v="8"/>
    <s v="Average"/>
  </r>
  <r>
    <s v="Agapeon Toothbrush Holder And Toothpaste Dispenser"/>
    <n v="382"/>
    <n v="700"/>
    <x v="84"/>
    <n v="0.45"/>
    <n v="318"/>
    <s v="high"/>
    <n v="-17"/>
    <n v="17"/>
    <x v="20"/>
    <s v="Poor"/>
  </r>
  <r>
    <s v="Watercolour Gold Foil Textured Print Pillow Cover"/>
    <n v="345"/>
    <n v="602"/>
    <x v="85"/>
    <n v="0.43"/>
    <n v="257"/>
    <s v="high"/>
    <n v="-6"/>
    <n v="6"/>
    <x v="16"/>
    <s v="Poor"/>
  </r>
  <r>
    <s v="Anti-Skid Absorbent Insulation Coaster  For Home Office"/>
    <n v="332"/>
    <n v="684"/>
    <x v="86"/>
    <n v="0.51"/>
    <n v="352"/>
    <s v="high"/>
    <n v="-2"/>
    <n v="2"/>
    <x v="1"/>
    <s v="Excellent"/>
  </r>
  <r>
    <s v="Household Pineapple Peeler Peeler"/>
    <n v="330"/>
    <n v="647"/>
    <x v="87"/>
    <n v="0.49"/>
    <n v="317"/>
    <s v="high"/>
    <n v="-1"/>
    <n v="1"/>
    <x v="3"/>
    <s v="Average"/>
  </r>
  <r>
    <s v="Intelligent  LED Body Sensor Wireless Lighting Night Light USB"/>
    <n v="325"/>
    <n v="680"/>
    <x v="88"/>
    <n v="0.52"/>
    <n v="355"/>
    <s v="high"/>
    <n v="-15"/>
    <n v="15"/>
    <x v="21"/>
    <s v="Poor"/>
  </r>
  <r>
    <s v="Brush &amp; Paintbrush Cleaning Tool Pink"/>
    <n v="299"/>
    <n v="600"/>
    <x v="89"/>
    <n v="0.5"/>
    <n v="301"/>
    <s v="high"/>
    <n v="0"/>
    <n v="0"/>
    <x v="2"/>
    <s v="Not Provided"/>
  </r>
  <r>
    <s v="Pilates Cloth Bag Waterproof Durable High Capacity Purple"/>
    <n v="299"/>
    <n v="384"/>
    <x v="90"/>
    <n v="0.22"/>
    <n v="85"/>
    <s v="Medium"/>
    <n v="0"/>
    <n v="0"/>
    <x v="2"/>
    <s v="Not Provided"/>
  </r>
  <r>
    <s v="Cartoon Car Decoration Cute Individuality For Car Home Desk"/>
    <n v="274"/>
    <n v="537"/>
    <x v="91"/>
    <n v="0.49"/>
    <n v="263"/>
    <s v="high"/>
    <n v="0"/>
    <n v="0"/>
    <x v="2"/>
    <s v="Not Provided"/>
  </r>
  <r>
    <s v="4 Piece Coloured Stainless Steel Kitchenware Set"/>
    <n v="248"/>
    <n v="486"/>
    <x v="92"/>
    <n v="0.49"/>
    <n v="238"/>
    <s v="high"/>
    <n v="0"/>
    <n v="0"/>
    <x v="2"/>
    <s v="Not Provided"/>
  </r>
  <r>
    <s v="Modern Sofa Throw Pillow Cover-45x45cm-Blue&amp;Red"/>
    <n v="238"/>
    <n v="476"/>
    <x v="48"/>
    <n v="0.5"/>
    <n v="238"/>
    <s v="high"/>
    <n v="0"/>
    <n v="0"/>
    <x v="2"/>
    <s v="Not Provided"/>
  </r>
  <r>
    <s v="7PCS Silicone Thumb Knife Finger Protector Vegetable Harvesting Knife"/>
    <n v="230"/>
    <n v="450"/>
    <x v="93"/>
    <n v="0.49"/>
    <n v="220"/>
    <s v="high"/>
    <n v="0"/>
    <n v="0"/>
    <x v="2"/>
    <s v="Not Provided"/>
  </r>
  <r>
    <s v="Creative Owl Shape Keychain Black"/>
    <n v="199"/>
    <n v="504"/>
    <x v="94"/>
    <n v="0.61"/>
    <n v="305"/>
    <s v="high"/>
    <n v="0"/>
    <n v="0"/>
    <x v="2"/>
    <s v="Not Provided"/>
  </r>
  <r>
    <s v="6 In 1 Bottle Can Opener Multifunctional Easy Opener"/>
    <n v="199"/>
    <n v="553"/>
    <x v="95"/>
    <n v="0.64"/>
    <n v="354"/>
    <s v="high"/>
    <n v="0"/>
    <n v="0"/>
    <x v="2"/>
    <s v="Not Provided"/>
  </r>
  <r>
    <s v="1PC Refrigerator Food Seal Pocket Fridge Bags"/>
    <n v="198"/>
    <n v="260"/>
    <x v="96"/>
    <n v="0.24"/>
    <n v="62"/>
    <s v="Medium"/>
    <n v="0"/>
    <n v="0"/>
    <x v="2"/>
    <s v="Not Provided"/>
  </r>
  <r>
    <s v="Peacock  Throw Pillow Cushion Case For Home Car"/>
    <n v="195"/>
    <n v="360"/>
    <x v="97"/>
    <n v="0.46"/>
    <n v="165"/>
    <s v="high"/>
    <n v="-2"/>
    <n v="2"/>
    <x v="1"/>
    <s v="Excellent"/>
  </r>
  <r>
    <s v="Exfoliate And Exfoliate Face Towel - Black"/>
    <n v="185"/>
    <n v="382"/>
    <x v="98"/>
    <n v="0.52"/>
    <n v="197"/>
    <s v="high"/>
    <n v="-9"/>
    <n v="9"/>
    <x v="8"/>
    <s v="Average"/>
  </r>
  <r>
    <s v="Classic Black Cat Cotton Hemp Pillow Case For Home Car"/>
    <n v="171"/>
    <n v="360"/>
    <x v="99"/>
    <n v="0.53"/>
    <n v="189"/>
    <s v="high"/>
    <n v="-2"/>
    <n v="2"/>
    <x v="1"/>
    <s v="Excellent"/>
  </r>
  <r>
    <s v="Black Simple Water Cup Wine Coaster Anti Slip Absorbent"/>
    <n v="169"/>
    <n v="320"/>
    <x v="100"/>
    <n v="0.47"/>
    <n v="151"/>
    <s v="high"/>
    <n v="0"/>
    <n v="0"/>
    <x v="2"/>
    <s v="Not Provided"/>
  </r>
  <r>
    <s v="Sewing Machine Needle Threader Stitch Insertion Tool Automatic Quick Sewing"/>
    <n v="105"/>
    <n v="200"/>
    <x v="101"/>
    <n v="0.48"/>
    <n v="95"/>
    <s v="high"/>
    <n v="0"/>
    <n v="0"/>
    <x v="2"/>
    <s v="Not Provided"/>
  </r>
  <r>
    <s v="3PCS Single Head Knitting Crochet Sweater Needle Set"/>
    <n v="38"/>
    <n v="80"/>
    <x v="99"/>
    <n v="0.53"/>
    <n v="42"/>
    <s v="high"/>
    <n v="-13"/>
    <n v="13"/>
    <x v="22"/>
    <s v="Average"/>
  </r>
  <r>
    <m/>
    <m/>
    <m/>
    <x v="102"/>
    <m/>
    <m/>
    <s v="Low"/>
    <m/>
    <m/>
    <x v="23"/>
    <m/>
  </r>
  <r>
    <m/>
    <m/>
    <m/>
    <x v="102"/>
    <m/>
    <m/>
    <s v="Low"/>
    <m/>
    <m/>
    <x v="23"/>
    <m/>
  </r>
  <r>
    <m/>
    <m/>
    <m/>
    <x v="102"/>
    <m/>
    <m/>
    <s v="Low"/>
    <m/>
    <m/>
    <x v="23"/>
    <m/>
  </r>
  <r>
    <m/>
    <m/>
    <m/>
    <x v="102"/>
    <m/>
    <m/>
    <s v="Low"/>
    <m/>
    <m/>
    <x v="23"/>
    <m/>
  </r>
  <r>
    <m/>
    <m/>
    <m/>
    <x v="102"/>
    <m/>
    <m/>
    <s v="Low"/>
    <m/>
    <m/>
    <x v="23"/>
    <m/>
  </r>
  <r>
    <m/>
    <m/>
    <m/>
    <x v="102"/>
    <m/>
    <m/>
    <m/>
    <m/>
    <m/>
    <x v="23"/>
    <m/>
  </r>
</pivotCacheRecords>
</file>

<file path=xl/pivotCache/pivotCacheRecords3.xml><?xml version="1.0" encoding="utf-8"?>
<pivotCacheRecords xmlns="http://schemas.openxmlformats.org/spreadsheetml/2006/main" xmlns:r="http://schemas.openxmlformats.org/officeDocument/2006/relationships" count="114">
  <r>
    <x v="0"/>
    <n v="3750"/>
    <n v="6143"/>
    <x v="0"/>
    <n v="0.39"/>
    <n v="2393"/>
    <x v="0"/>
    <n v="-5"/>
    <n v="5"/>
    <n v="3"/>
    <x v="0"/>
  </r>
  <r>
    <x v="1"/>
    <n v="3640"/>
    <n v="4588"/>
    <x v="1"/>
    <n v="0.21"/>
    <n v="948"/>
    <x v="0"/>
    <n v="-1"/>
    <n v="1"/>
    <n v="5"/>
    <x v="1"/>
  </r>
  <r>
    <x v="2"/>
    <n v="3546"/>
    <n v="3699"/>
    <x v="2"/>
    <n v="0.04"/>
    <n v="153"/>
    <x v="1"/>
    <n v="0"/>
    <n v="0"/>
    <s v="Not Provided"/>
    <x v="2"/>
  </r>
  <r>
    <x v="3"/>
    <n v="2999"/>
    <n v="3290"/>
    <x v="3"/>
    <n v="0.09"/>
    <n v="291"/>
    <x v="1"/>
    <n v="-15"/>
    <n v="15"/>
    <n v="4"/>
    <x v="0"/>
  </r>
  <r>
    <x v="4"/>
    <n v="2999"/>
    <n v="3699"/>
    <x v="4"/>
    <n v="0.19"/>
    <n v="700"/>
    <x v="1"/>
    <n v="-5"/>
    <n v="5"/>
    <n v="4.5999999999999996"/>
    <x v="1"/>
  </r>
  <r>
    <x v="5"/>
    <n v="2880"/>
    <n v="3520"/>
    <x v="5"/>
    <n v="0.18"/>
    <n v="640"/>
    <x v="1"/>
    <n v="-12"/>
    <n v="12"/>
    <n v="3.8"/>
    <x v="0"/>
  </r>
  <r>
    <x v="6"/>
    <n v="2799"/>
    <n v="3810"/>
    <x v="6"/>
    <n v="0.27"/>
    <n v="1011"/>
    <x v="0"/>
    <n v="0"/>
    <n v="0"/>
    <s v="Not Provided"/>
    <x v="2"/>
  </r>
  <r>
    <x v="7"/>
    <n v="2750"/>
    <n v="4471"/>
    <x v="7"/>
    <n v="0.38"/>
    <n v="1721"/>
    <x v="0"/>
    <n v="0"/>
    <n v="0"/>
    <s v="Not Provided"/>
    <x v="2"/>
  </r>
  <r>
    <x v="8"/>
    <n v="2319"/>
    <n v="3032"/>
    <x v="8"/>
    <n v="0.24"/>
    <n v="713"/>
    <x v="0"/>
    <n v="-55"/>
    <n v="55"/>
    <n v="4.5999999999999996"/>
    <x v="1"/>
  </r>
  <r>
    <x v="9"/>
    <n v="2300"/>
    <n v="3240"/>
    <x v="9"/>
    <n v="0.28999999999999998"/>
    <n v="940"/>
    <x v="0"/>
    <n v="-5"/>
    <n v="5"/>
    <n v="3"/>
    <x v="0"/>
  </r>
  <r>
    <x v="10"/>
    <n v="2200"/>
    <n v="4080"/>
    <x v="10"/>
    <n v="0.46"/>
    <n v="1880"/>
    <x v="2"/>
    <n v="0"/>
    <n v="0"/>
    <s v="Not Provided"/>
    <x v="2"/>
  </r>
  <r>
    <x v="11"/>
    <n v="2199"/>
    <n v="2923"/>
    <x v="11"/>
    <n v="0.25"/>
    <n v="724"/>
    <x v="0"/>
    <n v="-24"/>
    <n v="24"/>
    <n v="4.5999999999999996"/>
    <x v="1"/>
  </r>
  <r>
    <x v="12"/>
    <n v="2170"/>
    <n v="2500"/>
    <x v="12"/>
    <n v="0.13"/>
    <n v="330"/>
    <x v="1"/>
    <n v="-6"/>
    <n v="6"/>
    <n v="2.5"/>
    <x v="3"/>
  </r>
  <r>
    <x v="13"/>
    <n v="2132"/>
    <n v="2169"/>
    <x v="13"/>
    <n v="0.02"/>
    <n v="37"/>
    <x v="1"/>
    <n v="0"/>
    <n v="0"/>
    <s v="Not Provided"/>
    <x v="2"/>
  </r>
  <r>
    <x v="14"/>
    <n v="2115"/>
    <n v="4700"/>
    <x v="14"/>
    <n v="0.55000000000000004"/>
    <n v="2585"/>
    <x v="2"/>
    <n v="-13"/>
    <n v="13"/>
    <n v="2.1"/>
    <x v="3"/>
  </r>
  <r>
    <x v="15"/>
    <n v="2048"/>
    <n v="4500"/>
    <x v="15"/>
    <n v="0.54"/>
    <n v="2452"/>
    <x v="2"/>
    <n v="-7"/>
    <n v="7"/>
    <n v="4.3"/>
    <x v="0"/>
  </r>
  <r>
    <x v="16"/>
    <n v="2025"/>
    <n v="3971"/>
    <x v="16"/>
    <n v="0.49"/>
    <n v="1946"/>
    <x v="2"/>
    <n v="-3"/>
    <n v="3"/>
    <n v="5"/>
    <x v="1"/>
  </r>
  <r>
    <x v="17"/>
    <n v="1980"/>
    <n v="2699"/>
    <x v="17"/>
    <n v="0.27"/>
    <n v="719"/>
    <x v="0"/>
    <n v="-32"/>
    <n v="32"/>
    <n v="4.5"/>
    <x v="1"/>
  </r>
  <r>
    <x v="18"/>
    <n v="1940"/>
    <n v="2650"/>
    <x v="18"/>
    <n v="0.27"/>
    <n v="710"/>
    <x v="0"/>
    <n v="-20"/>
    <n v="20"/>
    <n v="4.7"/>
    <x v="1"/>
  </r>
  <r>
    <x v="19"/>
    <n v="1875"/>
    <n v="1899"/>
    <x v="19"/>
    <n v="0.01"/>
    <n v="24"/>
    <x v="1"/>
    <n v="0"/>
    <n v="0"/>
    <s v="Not Provided"/>
    <x v="2"/>
  </r>
  <r>
    <x v="20"/>
    <n v="1860"/>
    <n v="3220"/>
    <x v="20"/>
    <n v="0.42"/>
    <n v="1360"/>
    <x v="2"/>
    <n v="0"/>
    <n v="0"/>
    <s v="Not Provided"/>
    <x v="2"/>
  </r>
  <r>
    <x v="21"/>
    <n v="1820"/>
    <n v="3490"/>
    <x v="21"/>
    <n v="0.48"/>
    <n v="1670"/>
    <x v="2"/>
    <n v="-9"/>
    <n v="9"/>
    <n v="4.3"/>
    <x v="0"/>
  </r>
  <r>
    <x v="22"/>
    <n v="1800"/>
    <n v="2700"/>
    <x v="22"/>
    <n v="0.38"/>
    <n v="900"/>
    <x v="0"/>
    <n v="-2"/>
    <n v="2"/>
    <n v="4.5"/>
    <x v="1"/>
  </r>
  <r>
    <x v="23"/>
    <n v="1768"/>
    <n v="1799"/>
    <x v="23"/>
    <n v="0.02"/>
    <n v="31"/>
    <x v="1"/>
    <n v="0"/>
    <n v="0"/>
    <s v="Not Provided"/>
    <x v="2"/>
  </r>
  <r>
    <x v="24"/>
    <n v="1758"/>
    <n v="2499"/>
    <x v="24"/>
    <n v="0.3"/>
    <n v="741"/>
    <x v="0"/>
    <n v="-20"/>
    <n v="20"/>
    <n v="4.0999999999999996"/>
    <x v="0"/>
  </r>
  <r>
    <x v="25"/>
    <n v="1740"/>
    <n v="2356"/>
    <x v="25"/>
    <n v="0.26"/>
    <n v="616"/>
    <x v="0"/>
    <n v="-5"/>
    <n v="5"/>
    <n v="4.8"/>
    <x v="1"/>
  </r>
  <r>
    <x v="26"/>
    <n v="1732"/>
    <n v="1799"/>
    <x v="26"/>
    <n v="0.04"/>
    <n v="67"/>
    <x v="1"/>
    <n v="0"/>
    <n v="0"/>
    <s v="Not Provided"/>
    <x v="2"/>
  </r>
  <r>
    <x v="27"/>
    <n v="1680"/>
    <n v="2499"/>
    <x v="27"/>
    <n v="0.33"/>
    <n v="819"/>
    <x v="0"/>
    <n v="-9"/>
    <n v="9"/>
    <n v="4.2"/>
    <x v="0"/>
  </r>
  <r>
    <x v="28"/>
    <n v="1666"/>
    <n v="1699"/>
    <x v="28"/>
    <n v="0.02"/>
    <n v="33"/>
    <x v="1"/>
    <n v="0"/>
    <n v="0"/>
    <s v="Not Provided"/>
    <x v="2"/>
  </r>
  <r>
    <x v="29"/>
    <n v="1660"/>
    <n v="1699"/>
    <x v="29"/>
    <n v="0.02"/>
    <n v="39"/>
    <x v="1"/>
    <n v="0"/>
    <n v="0"/>
    <s v="Not Provided"/>
    <x v="2"/>
  </r>
  <r>
    <x v="30"/>
    <n v="1658"/>
    <n v="1699"/>
    <x v="30"/>
    <n v="0.02"/>
    <n v="41"/>
    <x v="1"/>
    <n v="0"/>
    <n v="0"/>
    <s v="Not Provided"/>
    <x v="2"/>
  </r>
  <r>
    <x v="31"/>
    <n v="1650"/>
    <n v="2150"/>
    <x v="31"/>
    <n v="0.23"/>
    <n v="500"/>
    <x v="0"/>
    <n v="-14"/>
    <n v="14"/>
    <n v="4.4000000000000004"/>
    <x v="0"/>
  </r>
  <r>
    <x v="32"/>
    <n v="1620"/>
    <n v="2690"/>
    <x v="32"/>
    <n v="0.4"/>
    <n v="1070"/>
    <x v="0"/>
    <n v="-1"/>
    <n v="1"/>
    <n v="5"/>
    <x v="1"/>
  </r>
  <r>
    <x v="33"/>
    <n v="1600"/>
    <n v="2929"/>
    <x v="33"/>
    <n v="0.45"/>
    <n v="1329"/>
    <x v="2"/>
    <n v="-5"/>
    <n v="5"/>
    <n v="3.8"/>
    <x v="0"/>
  </r>
  <r>
    <x v="34"/>
    <n v="1580"/>
    <n v="2499"/>
    <x v="34"/>
    <n v="0.37"/>
    <n v="919"/>
    <x v="0"/>
    <n v="-7"/>
    <n v="7"/>
    <n v="4.7"/>
    <x v="1"/>
  </r>
  <r>
    <x v="35"/>
    <n v="1570"/>
    <n v="2988"/>
    <x v="35"/>
    <n v="0.47"/>
    <n v="1418"/>
    <x v="2"/>
    <n v="-7"/>
    <n v="7"/>
    <n v="2.1"/>
    <x v="3"/>
  </r>
  <r>
    <x v="36"/>
    <n v="1526"/>
    <n v="1660"/>
    <x v="36"/>
    <n v="0.08"/>
    <n v="134"/>
    <x v="1"/>
    <n v="0"/>
    <n v="0"/>
    <s v="Not Provided"/>
    <x v="2"/>
  </r>
  <r>
    <x v="37"/>
    <n v="1468"/>
    <n v="1699"/>
    <x v="37"/>
    <n v="0.14000000000000001"/>
    <n v="231"/>
    <x v="1"/>
    <n v="0"/>
    <n v="0"/>
    <s v="Not Provided"/>
    <x v="2"/>
  </r>
  <r>
    <x v="38"/>
    <n v="1466"/>
    <n v="1699"/>
    <x v="38"/>
    <n v="0.14000000000000001"/>
    <n v="233"/>
    <x v="1"/>
    <n v="0"/>
    <n v="0"/>
    <s v="Not Provided"/>
    <x v="2"/>
  </r>
  <r>
    <x v="39"/>
    <n v="1462"/>
    <n v="1499"/>
    <x v="39"/>
    <n v="0.02"/>
    <n v="37"/>
    <x v="1"/>
    <n v="0"/>
    <n v="0"/>
    <s v="Not Provided"/>
    <x v="2"/>
  </r>
  <r>
    <x v="40"/>
    <n v="1460"/>
    <n v="2290"/>
    <x v="40"/>
    <n v="0.36"/>
    <n v="830"/>
    <x v="0"/>
    <n v="0"/>
    <n v="0"/>
    <s v="Not Provided"/>
    <x v="2"/>
  </r>
  <r>
    <x v="41"/>
    <n v="1459"/>
    <n v="1499"/>
    <x v="41"/>
    <n v="0.03"/>
    <n v="40"/>
    <x v="1"/>
    <n v="0"/>
    <n v="0"/>
    <s v="Not Provided"/>
    <x v="2"/>
  </r>
  <r>
    <x v="42"/>
    <n v="1420"/>
    <n v="2420"/>
    <x v="42"/>
    <n v="0.41"/>
    <n v="1000"/>
    <x v="2"/>
    <n v="0"/>
    <n v="0"/>
    <s v="Not Provided"/>
    <x v="2"/>
  </r>
  <r>
    <x v="43"/>
    <n v="1350"/>
    <n v="1990"/>
    <x v="43"/>
    <n v="0.32"/>
    <n v="640"/>
    <x v="0"/>
    <n v="-13"/>
    <n v="13"/>
    <n v="3.8"/>
    <x v="0"/>
  </r>
  <r>
    <x v="44"/>
    <n v="1300"/>
    <n v="2500"/>
    <x v="44"/>
    <n v="0.48"/>
    <n v="1200"/>
    <x v="2"/>
    <n v="0"/>
    <n v="0"/>
    <s v="Not Provided"/>
    <x v="2"/>
  </r>
  <r>
    <x v="45"/>
    <n v="1274"/>
    <n v="2800"/>
    <x v="45"/>
    <n v="0.55000000000000004"/>
    <n v="1526"/>
    <x v="2"/>
    <n v="-5"/>
    <n v="5"/>
    <n v="4.8"/>
    <x v="1"/>
  </r>
  <r>
    <x v="46"/>
    <n v="1220"/>
    <n v="1555"/>
    <x v="46"/>
    <n v="0.22"/>
    <n v="335"/>
    <x v="0"/>
    <n v="-16"/>
    <n v="16"/>
    <n v="2.9"/>
    <x v="3"/>
  </r>
  <r>
    <x v="47"/>
    <n v="1200"/>
    <n v="1950"/>
    <x v="47"/>
    <n v="0.38"/>
    <n v="750"/>
    <x v="0"/>
    <n v="0"/>
    <n v="0"/>
    <s v="Not Provided"/>
    <x v="2"/>
  </r>
  <r>
    <x v="48"/>
    <n v="1200"/>
    <n v="2400"/>
    <x v="48"/>
    <n v="0.5"/>
    <n v="1200"/>
    <x v="2"/>
    <n v="0"/>
    <n v="0"/>
    <s v="Not Provided"/>
    <x v="2"/>
  </r>
  <r>
    <x v="49"/>
    <n v="1190"/>
    <n v="1785"/>
    <x v="22"/>
    <n v="0.33"/>
    <n v="595"/>
    <x v="0"/>
    <n v="0"/>
    <n v="0"/>
    <s v="Not Provided"/>
    <x v="2"/>
  </r>
  <r>
    <x v="50"/>
    <n v="1190"/>
    <n v="1810"/>
    <x v="49"/>
    <n v="0.34"/>
    <n v="620"/>
    <x v="0"/>
    <n v="0"/>
    <n v="0"/>
    <s v="Not Provided"/>
    <x v="2"/>
  </r>
  <r>
    <x v="51"/>
    <n v="1189"/>
    <n v="2199"/>
    <x v="50"/>
    <n v="0.46"/>
    <n v="1010"/>
    <x v="2"/>
    <n v="-1"/>
    <n v="1"/>
    <n v="3"/>
    <x v="0"/>
  </r>
  <r>
    <x v="52"/>
    <n v="1150"/>
    <n v="1737"/>
    <x v="51"/>
    <n v="0.34"/>
    <n v="587"/>
    <x v="0"/>
    <n v="0"/>
    <n v="0"/>
    <s v="Not Provided"/>
    <x v="2"/>
  </r>
  <r>
    <x v="53"/>
    <n v="1080"/>
    <n v="1874"/>
    <x v="52"/>
    <n v="0.42"/>
    <n v="794"/>
    <x v="2"/>
    <n v="0"/>
    <n v="0"/>
    <s v="Not Provided"/>
    <x v="2"/>
  </r>
  <r>
    <x v="54"/>
    <n v="1000"/>
    <n v="2000"/>
    <x v="48"/>
    <n v="0.5"/>
    <n v="1000"/>
    <x v="2"/>
    <n v="-7"/>
    <n v="7"/>
    <n v="2.2999999999999998"/>
    <x v="3"/>
  </r>
  <r>
    <x v="55"/>
    <n v="999"/>
    <n v="2000"/>
    <x v="53"/>
    <n v="0.5"/>
    <n v="1001"/>
    <x v="2"/>
    <n v="0"/>
    <n v="0"/>
    <s v="Not Provided"/>
    <x v="2"/>
  </r>
  <r>
    <x v="56"/>
    <n v="998"/>
    <n v="1966"/>
    <x v="54"/>
    <n v="0.49"/>
    <n v="968"/>
    <x v="2"/>
    <n v="-44"/>
    <n v="44"/>
    <n v="4.5999999999999996"/>
    <x v="1"/>
  </r>
  <r>
    <x v="57"/>
    <n v="990"/>
    <n v="1500"/>
    <x v="55"/>
    <n v="0.34"/>
    <n v="510"/>
    <x v="0"/>
    <n v="-39"/>
    <n v="39"/>
    <n v="4.7"/>
    <x v="1"/>
  </r>
  <r>
    <x v="58"/>
    <n v="990"/>
    <n v="1814"/>
    <x v="56"/>
    <n v="0.45"/>
    <n v="824"/>
    <x v="2"/>
    <n v="-6"/>
    <n v="6"/>
    <n v="2.2000000000000002"/>
    <x v="3"/>
  </r>
  <r>
    <x v="59"/>
    <n v="988"/>
    <n v="1580"/>
    <x v="57"/>
    <n v="0.37"/>
    <n v="592"/>
    <x v="0"/>
    <n v="-2"/>
    <n v="2"/>
    <n v="4"/>
    <x v="0"/>
  </r>
  <r>
    <x v="60"/>
    <n v="980"/>
    <n v="1490"/>
    <x v="58"/>
    <n v="0.34"/>
    <n v="510"/>
    <x v="0"/>
    <n v="-12"/>
    <n v="12"/>
    <n v="4.7"/>
    <x v="1"/>
  </r>
  <r>
    <x v="61"/>
    <n v="979"/>
    <n v="1920"/>
    <x v="59"/>
    <n v="0.49"/>
    <n v="941"/>
    <x v="2"/>
    <n v="-1"/>
    <n v="1"/>
    <n v="5"/>
    <x v="1"/>
  </r>
  <r>
    <x v="62"/>
    <n v="968"/>
    <n v="1814"/>
    <x v="60"/>
    <n v="0.47"/>
    <n v="846"/>
    <x v="2"/>
    <n v="-6"/>
    <n v="6"/>
    <n v="2.2000000000000002"/>
    <x v="3"/>
  </r>
  <r>
    <x v="63"/>
    <n v="950"/>
    <n v="1525"/>
    <x v="61"/>
    <n v="0.38"/>
    <n v="575"/>
    <x v="0"/>
    <n v="-2"/>
    <n v="2"/>
    <n v="4.5"/>
    <x v="1"/>
  </r>
  <r>
    <x v="64"/>
    <n v="899"/>
    <n v="1699"/>
    <x v="62"/>
    <n v="0.47"/>
    <n v="800"/>
    <x v="2"/>
    <n v="0"/>
    <n v="0"/>
    <s v="Not Provided"/>
    <x v="2"/>
  </r>
  <r>
    <x v="65"/>
    <n v="880"/>
    <n v="1350"/>
    <x v="63"/>
    <n v="0.35"/>
    <n v="470"/>
    <x v="0"/>
    <n v="-6"/>
    <n v="6"/>
    <n v="4"/>
    <x v="0"/>
  </r>
  <r>
    <x v="66"/>
    <n v="850"/>
    <n v="1700"/>
    <x v="48"/>
    <n v="0.5"/>
    <n v="850"/>
    <x v="2"/>
    <n v="0"/>
    <n v="0"/>
    <s v="Not Provided"/>
    <x v="2"/>
  </r>
  <r>
    <x v="67"/>
    <n v="799"/>
    <n v="999"/>
    <x v="64"/>
    <n v="0.2"/>
    <n v="200"/>
    <x v="0"/>
    <n v="-12"/>
    <n v="12"/>
    <n v="4.0999999999999996"/>
    <x v="0"/>
  </r>
  <r>
    <x v="68"/>
    <n v="799"/>
    <n v="1343"/>
    <x v="65"/>
    <n v="0.41"/>
    <n v="544"/>
    <x v="2"/>
    <n v="0"/>
    <n v="0"/>
    <s v="Not Provided"/>
    <x v="2"/>
  </r>
  <r>
    <x v="69"/>
    <n v="799"/>
    <n v="1567"/>
    <x v="66"/>
    <n v="0.49"/>
    <n v="768"/>
    <x v="2"/>
    <n v="0"/>
    <n v="0"/>
    <s v="Not Provided"/>
    <x v="2"/>
  </r>
  <r>
    <x v="70"/>
    <n v="799"/>
    <n v="900"/>
    <x v="67"/>
    <n v="0.11"/>
    <n v="101"/>
    <x v="1"/>
    <n v="0"/>
    <n v="0"/>
    <s v="Not Provided"/>
    <x v="2"/>
  </r>
  <r>
    <x v="71"/>
    <n v="790"/>
    <n v="1485"/>
    <x v="68"/>
    <n v="0.47"/>
    <n v="695"/>
    <x v="2"/>
    <n v="0"/>
    <n v="0"/>
    <s v="Not Provided"/>
    <x v="2"/>
  </r>
  <r>
    <x v="72"/>
    <n v="699"/>
    <n v="1343"/>
    <x v="69"/>
    <n v="0.48"/>
    <n v="644"/>
    <x v="2"/>
    <n v="0"/>
    <n v="0"/>
    <s v="Not Provided"/>
    <x v="2"/>
  </r>
  <r>
    <x v="73"/>
    <n v="690"/>
    <n v="1200"/>
    <x v="70"/>
    <n v="0.43"/>
    <n v="510"/>
    <x v="2"/>
    <n v="0"/>
    <n v="0"/>
    <s v="Not Provided"/>
    <x v="2"/>
  </r>
  <r>
    <x v="74"/>
    <n v="671"/>
    <n v="1316"/>
    <x v="71"/>
    <n v="0.49"/>
    <n v="645"/>
    <x v="2"/>
    <n v="0"/>
    <n v="0"/>
    <s v="Not Provided"/>
    <x v="2"/>
  </r>
  <r>
    <x v="75"/>
    <n v="630"/>
    <n v="1100"/>
    <x v="72"/>
    <n v="0.43"/>
    <n v="470"/>
    <x v="2"/>
    <n v="0"/>
    <n v="0"/>
    <s v="Not Provided"/>
    <x v="2"/>
  </r>
  <r>
    <x v="76"/>
    <n v="610"/>
    <n v="1060"/>
    <x v="73"/>
    <n v="0.42"/>
    <n v="450"/>
    <x v="2"/>
    <n v="0"/>
    <n v="0"/>
    <s v="Not Provided"/>
    <x v="2"/>
  </r>
  <r>
    <x v="77"/>
    <n v="552"/>
    <n v="1035"/>
    <x v="74"/>
    <n v="0.47"/>
    <n v="483"/>
    <x v="2"/>
    <n v="-12"/>
    <n v="12"/>
    <n v="4.8"/>
    <x v="1"/>
  </r>
  <r>
    <x v="78"/>
    <n v="527"/>
    <n v="999"/>
    <x v="75"/>
    <n v="0.47"/>
    <n v="472"/>
    <x v="2"/>
    <n v="-14"/>
    <n v="14"/>
    <n v="4.0999999999999996"/>
    <x v="0"/>
  </r>
  <r>
    <x v="79"/>
    <n v="525"/>
    <n v="1029"/>
    <x v="76"/>
    <n v="0.49"/>
    <n v="504"/>
    <x v="2"/>
    <n v="0"/>
    <n v="0"/>
    <s v="Not Provided"/>
    <x v="2"/>
  </r>
  <r>
    <x v="80"/>
    <n v="509"/>
    <n v="899"/>
    <x v="77"/>
    <n v="0.43"/>
    <n v="390"/>
    <x v="2"/>
    <n v="-5"/>
    <n v="5"/>
    <n v="3"/>
    <x v="0"/>
  </r>
  <r>
    <x v="81"/>
    <n v="501"/>
    <n v="860"/>
    <x v="78"/>
    <n v="0.42"/>
    <n v="359"/>
    <x v="2"/>
    <n v="-6"/>
    <n v="6"/>
    <n v="4.5"/>
    <x v="1"/>
  </r>
  <r>
    <x v="82"/>
    <n v="499"/>
    <n v="900"/>
    <x v="79"/>
    <n v="0.45"/>
    <n v="401"/>
    <x v="2"/>
    <n v="0"/>
    <n v="0"/>
    <s v="Not Provided"/>
    <x v="2"/>
  </r>
  <r>
    <x v="83"/>
    <n v="475"/>
    <n v="931"/>
    <x v="76"/>
    <n v="0.49"/>
    <n v="456"/>
    <x v="2"/>
    <n v="0"/>
    <n v="0"/>
    <s v="Not Provided"/>
    <x v="2"/>
  </r>
  <r>
    <x v="84"/>
    <n v="458"/>
    <n v="986"/>
    <x v="80"/>
    <n v="0.54"/>
    <n v="528"/>
    <x v="2"/>
    <n v="-10"/>
    <n v="10"/>
    <n v="3"/>
    <x v="0"/>
  </r>
  <r>
    <x v="85"/>
    <n v="450"/>
    <n v="900"/>
    <x v="48"/>
    <n v="0.5"/>
    <n v="450"/>
    <x v="2"/>
    <n v="-1"/>
    <n v="1"/>
    <n v="2"/>
    <x v="3"/>
  </r>
  <r>
    <x v="86"/>
    <n v="445"/>
    <n v="873"/>
    <x v="81"/>
    <n v="0.49"/>
    <n v="428"/>
    <x v="2"/>
    <n v="-69"/>
    <n v="69"/>
    <n v="2.8"/>
    <x v="3"/>
  </r>
  <r>
    <x v="87"/>
    <n v="420"/>
    <n v="647"/>
    <x v="82"/>
    <n v="0.35"/>
    <n v="227"/>
    <x v="0"/>
    <n v="-49"/>
    <n v="49"/>
    <n v="4.5999999999999996"/>
    <x v="1"/>
  </r>
  <r>
    <x v="88"/>
    <n v="389"/>
    <n v="656"/>
    <x v="83"/>
    <n v="0.41"/>
    <n v="267"/>
    <x v="2"/>
    <n v="-36"/>
    <n v="36"/>
    <n v="4.3"/>
    <x v="0"/>
  </r>
  <r>
    <x v="89"/>
    <n v="382"/>
    <n v="700"/>
    <x v="84"/>
    <n v="0.45"/>
    <n v="318"/>
    <x v="2"/>
    <n v="-17"/>
    <n v="17"/>
    <n v="2.6"/>
    <x v="3"/>
  </r>
  <r>
    <x v="90"/>
    <n v="345"/>
    <n v="602"/>
    <x v="85"/>
    <n v="0.43"/>
    <n v="257"/>
    <x v="2"/>
    <n v="-6"/>
    <n v="6"/>
    <n v="2.2999999999999998"/>
    <x v="3"/>
  </r>
  <r>
    <x v="91"/>
    <n v="332"/>
    <n v="684"/>
    <x v="86"/>
    <n v="0.51"/>
    <n v="352"/>
    <x v="2"/>
    <n v="-2"/>
    <n v="2"/>
    <n v="5"/>
    <x v="1"/>
  </r>
  <r>
    <x v="92"/>
    <n v="330"/>
    <n v="647"/>
    <x v="87"/>
    <n v="0.49"/>
    <n v="317"/>
    <x v="2"/>
    <n v="-1"/>
    <n v="1"/>
    <n v="4"/>
    <x v="0"/>
  </r>
  <r>
    <x v="93"/>
    <n v="325"/>
    <n v="680"/>
    <x v="88"/>
    <n v="0.52"/>
    <n v="355"/>
    <x v="2"/>
    <n v="-15"/>
    <n v="15"/>
    <n v="2.7"/>
    <x v="3"/>
  </r>
  <r>
    <x v="94"/>
    <n v="299"/>
    <n v="600"/>
    <x v="89"/>
    <n v="0.5"/>
    <n v="301"/>
    <x v="2"/>
    <n v="0"/>
    <n v="0"/>
    <s v="Not Provided"/>
    <x v="2"/>
  </r>
  <r>
    <x v="95"/>
    <n v="299"/>
    <n v="384"/>
    <x v="90"/>
    <n v="0.22"/>
    <n v="85"/>
    <x v="0"/>
    <n v="0"/>
    <n v="0"/>
    <s v="Not Provided"/>
    <x v="2"/>
  </r>
  <r>
    <x v="96"/>
    <n v="274"/>
    <n v="537"/>
    <x v="91"/>
    <n v="0.49"/>
    <n v="263"/>
    <x v="2"/>
    <n v="0"/>
    <n v="0"/>
    <s v="Not Provided"/>
    <x v="2"/>
  </r>
  <r>
    <x v="97"/>
    <n v="248"/>
    <n v="486"/>
    <x v="92"/>
    <n v="0.49"/>
    <n v="238"/>
    <x v="2"/>
    <n v="0"/>
    <n v="0"/>
    <s v="Not Provided"/>
    <x v="2"/>
  </r>
  <r>
    <x v="98"/>
    <n v="238"/>
    <n v="476"/>
    <x v="48"/>
    <n v="0.5"/>
    <n v="238"/>
    <x v="2"/>
    <n v="0"/>
    <n v="0"/>
    <s v="Not Provided"/>
    <x v="2"/>
  </r>
  <r>
    <x v="99"/>
    <n v="230"/>
    <n v="450"/>
    <x v="93"/>
    <n v="0.49"/>
    <n v="220"/>
    <x v="2"/>
    <n v="0"/>
    <n v="0"/>
    <s v="Not Provided"/>
    <x v="2"/>
  </r>
  <r>
    <x v="100"/>
    <n v="199"/>
    <n v="504"/>
    <x v="94"/>
    <n v="0.61"/>
    <n v="305"/>
    <x v="2"/>
    <n v="0"/>
    <n v="0"/>
    <s v="Not Provided"/>
    <x v="2"/>
  </r>
  <r>
    <x v="101"/>
    <n v="199"/>
    <n v="553"/>
    <x v="95"/>
    <n v="0.64"/>
    <n v="354"/>
    <x v="2"/>
    <n v="0"/>
    <n v="0"/>
    <s v="Not Provided"/>
    <x v="2"/>
  </r>
  <r>
    <x v="102"/>
    <n v="198"/>
    <n v="260"/>
    <x v="96"/>
    <n v="0.24"/>
    <n v="62"/>
    <x v="0"/>
    <n v="0"/>
    <n v="0"/>
    <s v="Not Provided"/>
    <x v="2"/>
  </r>
  <r>
    <x v="103"/>
    <n v="195"/>
    <n v="360"/>
    <x v="97"/>
    <n v="0.46"/>
    <n v="165"/>
    <x v="2"/>
    <n v="-2"/>
    <n v="2"/>
    <n v="5"/>
    <x v="1"/>
  </r>
  <r>
    <x v="104"/>
    <n v="185"/>
    <n v="382"/>
    <x v="98"/>
    <n v="0.52"/>
    <n v="197"/>
    <x v="2"/>
    <n v="-9"/>
    <n v="9"/>
    <n v="4.3"/>
    <x v="0"/>
  </r>
  <r>
    <x v="105"/>
    <n v="171"/>
    <n v="360"/>
    <x v="99"/>
    <n v="0.53"/>
    <n v="189"/>
    <x v="2"/>
    <n v="-2"/>
    <n v="2"/>
    <n v="5"/>
    <x v="1"/>
  </r>
  <r>
    <x v="106"/>
    <n v="169"/>
    <n v="320"/>
    <x v="100"/>
    <n v="0.47"/>
    <n v="151"/>
    <x v="2"/>
    <n v="0"/>
    <n v="0"/>
    <s v="Not Provided"/>
    <x v="2"/>
  </r>
  <r>
    <x v="107"/>
    <n v="105"/>
    <n v="200"/>
    <x v="101"/>
    <n v="0.48"/>
    <n v="95"/>
    <x v="2"/>
    <n v="0"/>
    <n v="0"/>
    <s v="Not Provided"/>
    <x v="2"/>
  </r>
  <r>
    <x v="108"/>
    <n v="38"/>
    <n v="80"/>
    <x v="99"/>
    <n v="0.53"/>
    <n v="42"/>
    <x v="2"/>
    <n v="-13"/>
    <n v="13"/>
    <n v="3.3"/>
    <x v="0"/>
  </r>
  <r>
    <x v="109"/>
    <m/>
    <m/>
    <x v="102"/>
    <m/>
    <m/>
    <x v="1"/>
    <m/>
    <m/>
    <m/>
    <x v="4"/>
  </r>
  <r>
    <x v="109"/>
    <m/>
    <m/>
    <x v="102"/>
    <m/>
    <m/>
    <x v="1"/>
    <m/>
    <m/>
    <m/>
    <x v="4"/>
  </r>
  <r>
    <x v="109"/>
    <m/>
    <m/>
    <x v="102"/>
    <m/>
    <m/>
    <x v="1"/>
    <m/>
    <m/>
    <m/>
    <x v="4"/>
  </r>
  <r>
    <x v="109"/>
    <m/>
    <m/>
    <x v="102"/>
    <m/>
    <m/>
    <x v="1"/>
    <m/>
    <m/>
    <m/>
    <x v="4"/>
  </r>
  <r>
    <x v="109"/>
    <m/>
    <m/>
    <x v="102"/>
    <m/>
    <m/>
    <x v="1"/>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1">
    <pivotField showAll="0"/>
    <pivotField dataField="1" showAll="0"/>
    <pivotField dataField="1" showAll="0"/>
    <pivotField dataField="1"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Average of Current price" fld="1" subtotal="average" baseField="0" baseItem="0"/>
    <dataField name="Average of Rating" fld="9" subtotal="average" baseField="0" baseItem="1"/>
    <dataField name="Average of discount corrected" fld="3" subtotal="average" baseField="0" baseItem="1"/>
    <dataField name="Average of old price" fld="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11">
    <pivotField showAll="0"/>
    <pivotField showAll="0"/>
    <pivotField showAll="0"/>
    <pivotField dataField="1" showAll="0"/>
    <pivotField showAll="0"/>
    <pivotField showAll="0"/>
    <pivotField axis="axisRow" showAll="0">
      <items count="5">
        <item x="1"/>
        <item x="2"/>
        <item x="0"/>
        <item h="1" x="3"/>
        <item t="default"/>
      </items>
    </pivotField>
    <pivotField showAll="0"/>
    <pivotField showAll="0"/>
    <pivotField dataField="1" showAll="0"/>
    <pivotField showAll="0"/>
  </pivotFields>
  <rowFields count="1">
    <field x="6"/>
  </rowFields>
  <rowItems count="4">
    <i>
      <x/>
    </i>
    <i>
      <x v="1"/>
    </i>
    <i>
      <x v="2"/>
    </i>
    <i t="grand">
      <x/>
    </i>
  </rowItems>
  <colFields count="1">
    <field x="-2"/>
  </colFields>
  <colItems count="2">
    <i>
      <x/>
    </i>
    <i i="1">
      <x v="1"/>
    </i>
  </colItems>
  <dataFields count="2">
    <dataField name="Average of Rating" fld="9" subtotal="average" baseField="6" baseItem="0"/>
    <dataField name="Average of discount corrected"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s>
  <rowFields count="1">
    <field x="10"/>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7" firstHeaderRow="1" firstDataRow="1" firstDataCol="1"/>
  <pivotFields count="11">
    <pivotField showAll="0"/>
    <pivotField showAll="0"/>
    <pivotField showAll="0"/>
    <pivotField showAll="0"/>
    <pivotField showAll="0"/>
    <pivotField showAll="0"/>
    <pivotField showAll="0"/>
    <pivotField showAll="0"/>
    <pivotField dataField="1" showAll="0"/>
    <pivotField axis="axisRow" showAll="0">
      <items count="25">
        <item x="18"/>
        <item x="7"/>
        <item x="17"/>
        <item x="16"/>
        <item x="6"/>
        <item x="20"/>
        <item x="21"/>
        <item x="19"/>
        <item x="15"/>
        <item x="0"/>
        <item x="22"/>
        <item x="5"/>
        <item x="3"/>
        <item x="11"/>
        <item x="13"/>
        <item x="8"/>
        <item x="14"/>
        <item x="9"/>
        <item x="4"/>
        <item x="10"/>
        <item x="12"/>
        <item x="1"/>
        <item x="2"/>
        <item h="1" x="23"/>
        <item t="default"/>
      </items>
    </pivotField>
    <pivotField showAll="0"/>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Review corrected" fld="8" subtotal="average"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7" firstHeaderRow="0" firstDataRow="1" firstDataCol="1"/>
  <pivotFields count="11">
    <pivotField dataField="1" showAll="0"/>
    <pivotField showAll="0"/>
    <pivotField showAll="0"/>
    <pivotField axis="axisRow" showAll="0">
      <items count="104">
        <item x="19"/>
        <item x="13"/>
        <item x="23"/>
        <item x="28"/>
        <item x="29"/>
        <item x="30"/>
        <item x="39"/>
        <item x="41"/>
        <item x="26"/>
        <item x="2"/>
        <item x="36"/>
        <item x="3"/>
        <item x="67"/>
        <item x="12"/>
        <item x="37"/>
        <item x="38"/>
        <item x="5"/>
        <item x="4"/>
        <item x="64"/>
        <item x="1"/>
        <item x="46"/>
        <item x="90"/>
        <item x="31"/>
        <item x="8"/>
        <item x="96"/>
        <item x="11"/>
        <item x="25"/>
        <item x="6"/>
        <item x="17"/>
        <item x="18"/>
        <item x="9"/>
        <item x="24"/>
        <item x="43"/>
        <item x="27"/>
        <item x="22"/>
        <item x="51"/>
        <item x="55"/>
        <item x="58"/>
        <item x="49"/>
        <item x="63"/>
        <item x="82"/>
        <item x="40"/>
        <item x="34"/>
        <item x="57"/>
        <item x="61"/>
        <item x="47"/>
        <item x="7"/>
        <item x="0"/>
        <item x="32"/>
        <item x="65"/>
        <item x="83"/>
        <item x="42"/>
        <item x="78"/>
        <item x="20"/>
        <item x="52"/>
        <item x="73"/>
        <item x="70"/>
        <item x="85"/>
        <item x="72"/>
        <item x="77"/>
        <item x="79"/>
        <item x="33"/>
        <item x="56"/>
        <item x="84"/>
        <item x="97"/>
        <item x="50"/>
        <item x="10"/>
        <item x="60"/>
        <item x="74"/>
        <item x="68"/>
        <item x="62"/>
        <item x="100"/>
        <item x="75"/>
        <item x="35"/>
        <item x="101"/>
        <item x="21"/>
        <item x="69"/>
        <item x="44"/>
        <item x="93"/>
        <item x="92"/>
        <item x="91"/>
        <item x="76"/>
        <item x="87"/>
        <item x="16"/>
        <item x="59"/>
        <item x="66"/>
        <item x="71"/>
        <item x="81"/>
        <item x="54"/>
        <item x="48"/>
        <item x="53"/>
        <item x="89"/>
        <item x="86"/>
        <item x="98"/>
        <item x="88"/>
        <item x="99"/>
        <item x="80"/>
        <item x="15"/>
        <item x="45"/>
        <item x="14"/>
        <item x="94"/>
        <item x="95"/>
        <item x="102"/>
        <item t="default"/>
      </items>
    </pivotField>
    <pivotField showAll="0"/>
    <pivotField showAll="0"/>
    <pivotField showAll="0"/>
    <pivotField showAll="0"/>
    <pivotField dataField="1" showAll="0"/>
    <pivotField showAll="0"/>
    <pivotField showAll="0"/>
  </pivotFields>
  <rowFields count="1">
    <field x="3"/>
  </rowFields>
  <rowItems count="1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t="grand">
      <x/>
    </i>
  </rowItems>
  <colFields count="1">
    <field x="-2"/>
  </colFields>
  <colItems count="2">
    <i>
      <x/>
    </i>
    <i i="1">
      <x v="1"/>
    </i>
  </colItems>
  <dataFields count="2">
    <dataField name="Average of Review corrected" fld="8" subtotal="average" baseField="3" baseItem="6"/>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4" firstHeaderRow="1" firstDataRow="1" firstDataCol="1"/>
  <pivotFields count="11">
    <pivotField axis="axisRow" showAll="0" sortType="descending">
      <items count="111">
        <item x="109"/>
        <item x="80"/>
        <item x="34"/>
        <item x="90"/>
        <item x="37"/>
        <item x="85"/>
        <item x="36"/>
        <item x="66"/>
        <item x="46"/>
        <item x="23"/>
        <item x="82"/>
        <item x="30"/>
        <item x="13"/>
        <item x="107"/>
        <item x="88"/>
        <item x="44"/>
        <item x="5"/>
        <item x="39"/>
        <item x="11"/>
        <item x="25"/>
        <item x="95"/>
        <item x="29"/>
        <item x="103"/>
        <item x="70"/>
        <item x="38"/>
        <item x="84"/>
        <item x="41"/>
        <item x="10"/>
        <item x="75"/>
        <item x="27"/>
        <item x="98"/>
        <item x="2"/>
        <item x="78"/>
        <item x="51"/>
        <item x="4"/>
        <item x="52"/>
        <item x="65"/>
        <item x="21"/>
        <item x="7"/>
        <item x="45"/>
        <item x="81"/>
        <item x="16"/>
        <item x="15"/>
        <item x="9"/>
        <item x="1"/>
        <item x="93"/>
        <item x="92"/>
        <item x="67"/>
        <item x="31"/>
        <item x="104"/>
        <item x="87"/>
        <item x="35"/>
        <item x="32"/>
        <item x="59"/>
        <item x="68"/>
        <item x="26"/>
        <item x="100"/>
        <item x="105"/>
        <item x="72"/>
        <item x="55"/>
        <item x="50"/>
        <item x="96"/>
        <item x="74"/>
        <item x="94"/>
        <item x="106"/>
        <item x="61"/>
        <item x="76"/>
        <item x="79"/>
        <item x="58"/>
        <item x="91"/>
        <item x="69"/>
        <item x="89"/>
        <item x="42"/>
        <item x="53"/>
        <item x="62"/>
        <item x="99"/>
        <item x="49"/>
        <item x="64"/>
        <item x="101"/>
        <item x="14"/>
        <item x="40"/>
        <item x="18"/>
        <item x="17"/>
        <item x="24"/>
        <item x="12"/>
        <item x="20"/>
        <item x="83"/>
        <item x="77"/>
        <item x="97"/>
        <item x="108"/>
        <item x="73"/>
        <item x="56"/>
        <item x="54"/>
        <item x="0"/>
        <item x="71"/>
        <item x="47"/>
        <item x="48"/>
        <item x="19"/>
        <item x="3"/>
        <item x="28"/>
        <item x="102"/>
        <item x="8"/>
        <item x="33"/>
        <item x="6"/>
        <item x="86"/>
        <item x="60"/>
        <item x="43"/>
        <item x="63"/>
        <item x="57"/>
        <item x="2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0">
        <item x="0"/>
        <item x="1"/>
        <item x="2"/>
        <item x="3"/>
        <item x="4"/>
        <item x="5"/>
        <item x="6"/>
        <item x="7"/>
        <item x="8"/>
        <item t="default"/>
      </items>
    </pivotField>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Fields count="1">
    <field x="0"/>
  </rowFields>
  <rowItems count="111">
    <i>
      <x v="93"/>
    </i>
    <i>
      <x v="44"/>
    </i>
    <i>
      <x v="31"/>
    </i>
    <i>
      <x v="98"/>
    </i>
    <i>
      <x v="34"/>
    </i>
    <i>
      <x v="16"/>
    </i>
    <i>
      <x v="103"/>
    </i>
    <i>
      <x v="38"/>
    </i>
    <i>
      <x v="101"/>
    </i>
    <i>
      <x v="43"/>
    </i>
    <i>
      <x v="27"/>
    </i>
    <i>
      <x v="18"/>
    </i>
    <i>
      <x v="84"/>
    </i>
    <i>
      <x v="12"/>
    </i>
    <i>
      <x v="79"/>
    </i>
    <i>
      <x v="42"/>
    </i>
    <i>
      <x v="41"/>
    </i>
    <i>
      <x v="82"/>
    </i>
    <i>
      <x v="81"/>
    </i>
    <i>
      <x v="97"/>
    </i>
    <i>
      <x v="85"/>
    </i>
    <i>
      <x v="37"/>
    </i>
    <i>
      <x v="109"/>
    </i>
    <i>
      <x v="9"/>
    </i>
    <i>
      <x v="83"/>
    </i>
    <i>
      <x v="19"/>
    </i>
    <i>
      <x v="55"/>
    </i>
    <i>
      <x v="29"/>
    </i>
    <i>
      <x v="99"/>
    </i>
    <i>
      <x v="21"/>
    </i>
    <i>
      <x v="11"/>
    </i>
    <i>
      <x v="48"/>
    </i>
    <i>
      <x v="52"/>
    </i>
    <i>
      <x v="102"/>
    </i>
    <i>
      <x v="2"/>
    </i>
    <i>
      <x v="51"/>
    </i>
    <i>
      <x v="6"/>
    </i>
    <i>
      <x v="4"/>
    </i>
    <i>
      <x v="24"/>
    </i>
    <i>
      <x v="17"/>
    </i>
    <i>
      <x v="80"/>
    </i>
    <i>
      <x v="26"/>
    </i>
    <i>
      <x v="72"/>
    </i>
    <i>
      <x v="106"/>
    </i>
    <i>
      <x v="15"/>
    </i>
    <i>
      <x v="39"/>
    </i>
    <i>
      <x v="8"/>
    </i>
    <i>
      <x v="96"/>
    </i>
    <i>
      <x v="95"/>
    </i>
    <i>
      <x v="76"/>
    </i>
    <i>
      <x v="60"/>
    </i>
    <i>
      <x v="33"/>
    </i>
    <i>
      <x v="35"/>
    </i>
    <i>
      <x v="73"/>
    </i>
    <i>
      <x v="92"/>
    </i>
    <i>
      <x v="59"/>
    </i>
    <i>
      <x v="91"/>
    </i>
    <i>
      <x v="108"/>
    </i>
    <i>
      <x v="68"/>
    </i>
    <i>
      <x v="53"/>
    </i>
    <i>
      <x v="105"/>
    </i>
    <i>
      <x v="65"/>
    </i>
    <i>
      <x v="74"/>
    </i>
    <i>
      <x v="107"/>
    </i>
    <i>
      <x v="77"/>
    </i>
    <i>
      <x v="36"/>
    </i>
    <i>
      <x v="7"/>
    </i>
    <i>
      <x v="70"/>
    </i>
    <i>
      <x v="23"/>
    </i>
    <i>
      <x v="47"/>
    </i>
    <i>
      <x v="54"/>
    </i>
    <i>
      <x v="94"/>
    </i>
    <i>
      <x v="58"/>
    </i>
    <i>
      <x v="90"/>
    </i>
    <i>
      <x v="62"/>
    </i>
    <i>
      <x v="28"/>
    </i>
    <i>
      <x v="66"/>
    </i>
    <i>
      <x v="87"/>
    </i>
    <i>
      <x v="32"/>
    </i>
    <i>
      <x v="67"/>
    </i>
    <i>
      <x v="1"/>
    </i>
    <i>
      <x v="40"/>
    </i>
    <i>
      <x v="10"/>
    </i>
    <i>
      <x v="86"/>
    </i>
    <i>
      <x v="25"/>
    </i>
    <i>
      <x v="5"/>
    </i>
    <i>
      <x v="104"/>
    </i>
    <i>
      <x v="50"/>
    </i>
    <i>
      <x v="14"/>
    </i>
    <i>
      <x v="71"/>
    </i>
    <i>
      <x v="3"/>
    </i>
    <i>
      <x v="69"/>
    </i>
    <i>
      <x v="46"/>
    </i>
    <i>
      <x v="45"/>
    </i>
    <i>
      <x v="63"/>
    </i>
    <i>
      <x v="20"/>
    </i>
    <i>
      <x v="61"/>
    </i>
    <i>
      <x v="88"/>
    </i>
    <i>
      <x v="30"/>
    </i>
    <i>
      <x v="75"/>
    </i>
    <i>
      <x v="78"/>
    </i>
    <i>
      <x v="56"/>
    </i>
    <i>
      <x v="100"/>
    </i>
    <i>
      <x v="22"/>
    </i>
    <i>
      <x v="49"/>
    </i>
    <i>
      <x v="57"/>
    </i>
    <i>
      <x v="64"/>
    </i>
    <i>
      <x v="13"/>
    </i>
    <i>
      <x v="89"/>
    </i>
    <i>
      <x/>
    </i>
    <i t="grand">
      <x/>
    </i>
  </rowItems>
  <colItems count="1">
    <i/>
  </colItems>
  <dataFields count="1">
    <dataField name="Sum of Current pric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1">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Fields count="1">
    <field x="3"/>
  </rowFields>
  <rowItems count="8">
    <i>
      <x v="1"/>
    </i>
    <i>
      <x v="2"/>
    </i>
    <i>
      <x v="3"/>
    </i>
    <i>
      <x v="4"/>
    </i>
    <i>
      <x v="5"/>
    </i>
    <i>
      <x v="6"/>
    </i>
    <i>
      <x v="7"/>
    </i>
    <i t="grand">
      <x/>
    </i>
  </rowItems>
  <colItems count="1">
    <i/>
  </colItems>
  <dataFields count="1">
    <dataField name="Average of Review corrected" fld="8" subtotal="average" baseField="3" baseItem="4" numFmtId="2"/>
  </dataFields>
  <formats count="12">
    <format dxfId="15">
      <pivotArea field="3" type="button" dataOnly="0" labelOnly="1" outline="0" axis="axisRow" fieldPosition="0"/>
    </format>
    <format dxfId="14">
      <pivotArea type="all" dataOnly="0" outline="0" fieldPosition="0"/>
    </format>
    <format dxfId="13">
      <pivotArea field="3" type="button" dataOnly="0" labelOnly="1" outline="0" axis="axisRow" fieldPosition="0"/>
    </format>
    <format dxfId="12">
      <pivotArea dataOnly="0" labelOnly="1" grandRow="1" outline="0" fieldPosition="0"/>
    </format>
    <format dxfId="11">
      <pivotArea type="all" dataOnly="0" outline="0" fieldPosition="0"/>
    </format>
    <format dxfId="10">
      <pivotArea field="3" type="button" dataOnly="0" labelOnly="1" outline="0" axis="axisRow" fieldPosition="0"/>
    </format>
    <format dxfId="9">
      <pivotArea dataOnly="0" labelOnly="1" fieldPosition="0">
        <references count="1">
          <reference field="3" count="7">
            <x v="1"/>
            <x v="2"/>
            <x v="3"/>
            <x v="4"/>
            <x v="5"/>
            <x v="6"/>
            <x v="7"/>
          </reference>
        </references>
      </pivotArea>
    </format>
    <format dxfId="8">
      <pivotArea dataOnly="0" labelOnly="1" grandRow="1" outline="0" fieldPosition="0"/>
    </format>
    <format dxfId="7">
      <pivotArea dataOnly="0" labelOnly="1" fieldPosition="0">
        <references count="1">
          <reference field="3" count="1">
            <x v="1"/>
          </reference>
        </references>
      </pivotArea>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7"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Fields count="1">
    <field x="0"/>
  </rowFields>
  <rowItems count="11">
    <i>
      <x v="20"/>
    </i>
    <i>
      <x v="30"/>
    </i>
    <i>
      <x v="31"/>
    </i>
    <i>
      <x v="52"/>
    </i>
    <i>
      <x v="53"/>
    </i>
    <i>
      <x v="60"/>
    </i>
    <i>
      <x v="64"/>
    </i>
    <i>
      <x v="67"/>
    </i>
    <i>
      <x v="70"/>
    </i>
    <i>
      <x v="84"/>
    </i>
    <i t="grand">
      <x/>
    </i>
  </rowItems>
  <colItems count="1">
    <i/>
  </colItems>
  <dataFields count="1">
    <dataField name="Max of discount corrected" fld="3" subtotal="max" baseField="0" baseItem="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8"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Fields count="1">
    <field x="0"/>
  </rowFields>
  <rowItems count="11">
    <i>
      <x v="1"/>
    </i>
    <i>
      <x v="5"/>
    </i>
    <i>
      <x v="8"/>
    </i>
    <i>
      <x v="18"/>
    </i>
    <i>
      <x v="26"/>
    </i>
    <i>
      <x v="27"/>
    </i>
    <i>
      <x v="28"/>
    </i>
    <i>
      <x v="59"/>
    </i>
    <i>
      <x v="91"/>
    </i>
    <i>
      <x v="95"/>
    </i>
    <i t="grand">
      <x/>
    </i>
  </rowItems>
  <colItems count="1">
    <i/>
  </colItems>
  <dataFields count="1">
    <dataField name="Sum of Review corrected" fld="8" baseField="0"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9"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8">
    <i>
      <x v="40"/>
    </i>
    <i>
      <x v="44"/>
    </i>
    <i>
      <x v="52"/>
    </i>
    <i>
      <x v="57"/>
    </i>
    <i>
      <x v="65"/>
    </i>
    <i>
      <x v="68"/>
    </i>
    <i>
      <x v="87"/>
    </i>
    <i t="grand">
      <x/>
    </i>
  </rowItems>
  <colItems count="1">
    <i/>
  </colItems>
  <dataFields count="1">
    <dataField name="Average of Rating" fld="9" subtotal="average" baseField="0" baseItem="6"/>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0"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7">
    <i>
      <x v="30"/>
    </i>
    <i>
      <x v="35"/>
    </i>
    <i>
      <x v="41"/>
    </i>
    <i>
      <x v="58"/>
    </i>
    <i>
      <x v="104"/>
    </i>
    <i>
      <x v="109"/>
    </i>
    <i t="grand">
      <x/>
    </i>
  </rowItems>
  <colItems count="1">
    <i/>
  </colItems>
  <dataFields count="1">
    <dataField name="Average of Rating" fld="9" subtotal="average"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1"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11" firstHeaderRow="0" firstDataRow="1" firstDataCol="1"/>
  <pivotFields count="11">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4">
        <item x="2"/>
        <item x="1"/>
        <item x="0"/>
        <item t="default"/>
      </items>
    </pivotField>
    <pivotField showAll="0"/>
    <pivotField dataField="1" showAll="0"/>
    <pivotField dataField="1" showAll="0"/>
    <pivotField showAll="0">
      <items count="6">
        <item x="0"/>
        <item x="1"/>
        <item x="2"/>
        <item x="3"/>
        <item x="4"/>
        <item t="default"/>
      </items>
    </pivotField>
  </pivotFields>
  <rowFields count="1">
    <field x="3"/>
  </rowFields>
  <rowItems count="8">
    <i>
      <x v="1"/>
    </i>
    <i>
      <x v="2"/>
    </i>
    <i>
      <x v="3"/>
    </i>
    <i>
      <x v="4"/>
    </i>
    <i>
      <x v="5"/>
    </i>
    <i>
      <x v="6"/>
    </i>
    <i>
      <x v="7"/>
    </i>
    <i t="grand">
      <x/>
    </i>
  </rowItems>
  <colFields count="1">
    <field x="-2"/>
  </colFields>
  <colItems count="2">
    <i>
      <x/>
    </i>
    <i i="1">
      <x v="1"/>
    </i>
  </colItems>
  <dataFields count="2">
    <dataField name="Average of Rating" fld="9" subtotal="average" baseField="3" baseItem="7"/>
    <dataField name="Average of Review corrected" fld="8" subtotal="average" baseField="3" baseItem="7"/>
  </dataFields>
  <formats count="4">
    <format dxfId="3">
      <pivotArea field="3" type="button" dataOnly="0" labelOnly="1" outline="0" axis="axisRow" fieldPosition="0"/>
    </format>
    <format dxfId="2">
      <pivotArea dataOnly="0" labelOnly="1" fieldPosition="0">
        <references count="1">
          <reference field="3" count="7">
            <x v="1"/>
            <x v="2"/>
            <x v="3"/>
            <x v="4"/>
            <x v="5"/>
            <x v="6"/>
            <x v="7"/>
          </reference>
        </references>
      </pivotArea>
    </format>
    <format dxfId="1">
      <pivotArea dataOnly="0" labelOnly="1" grandRow="1" outline="0" fieldPosition="0"/>
    </format>
    <format dxfId="0">
      <pivotArea dataOnly="0" labelOnly="1" fieldPosition="0">
        <references count="1">
          <reference field="3"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8"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dataField="1"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9"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items count="6">
        <item x="0"/>
        <item x="1"/>
        <item x="2"/>
        <item x="3"/>
        <item x="4"/>
        <item t="default"/>
      </items>
    </pivotField>
  </pivotFields>
  <rowItems count="1">
    <i/>
  </rowItems>
  <colItems count="1">
    <i/>
  </colItems>
  <dataFields count="1">
    <dataField name="Average of discount corrected" fld="3" subtotal="average"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0"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Items count="1">
    <i/>
  </rowItems>
  <colItems count="1">
    <i/>
  </colItems>
  <dataFields count="1">
    <dataField name="Average of Rating" fld="9" subtotal="average"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31"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pivotField showAll="0"/>
    <pivotField showAll="0"/>
    <pivotField showAll="0">
      <items count="4">
        <item x="2"/>
        <item x="1"/>
        <item x="0"/>
        <item t="default"/>
      </items>
    </pivotField>
    <pivotField showAll="0"/>
    <pivotField dataField="1" showAll="0"/>
    <pivotField showAll="0"/>
    <pivotField showAll="0">
      <items count="6">
        <item x="0"/>
        <item x="1"/>
        <item x="2"/>
        <item x="3"/>
        <item x="4"/>
        <item t="default"/>
      </items>
    </pivotField>
  </pivotFields>
  <rowItems count="1">
    <i/>
  </rowItems>
  <colItems count="1">
    <i/>
  </colItems>
  <dataFields count="1">
    <dataField name="Sum of Review corrected" fld="8" baseField="0" baseItem="9076653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32"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1">
    <pivotField axis="axisRow" showAll="0" measureFilter="1">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items count="6">
        <item x="0"/>
        <item x="1"/>
        <item x="2"/>
        <item x="3"/>
        <item x="4"/>
        <item t="default"/>
      </items>
    </pivotField>
  </pivotFields>
  <rowFields count="1">
    <field x="0"/>
  </rowFields>
  <rowItems count="11">
    <i>
      <x v="22"/>
    </i>
    <i>
      <x v="40"/>
    </i>
    <i>
      <x v="44"/>
    </i>
    <i>
      <x v="52"/>
    </i>
    <i>
      <x v="57"/>
    </i>
    <i>
      <x v="65"/>
    </i>
    <i>
      <x v="68"/>
    </i>
    <i>
      <x v="70"/>
    </i>
    <i>
      <x v="87"/>
    </i>
    <i>
      <x v="90"/>
    </i>
    <i t="grand">
      <x/>
    </i>
  </rowItems>
  <colItems count="1">
    <i/>
  </colItems>
  <dataFields count="1">
    <dataField name="Average of Rating" fld="9" subtotal="average" baseField="0" baseItem="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33"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dataField="1" showAll="0">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axis="axisRow"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Count of Product" fld="0" subtotal="count" baseField="0" baseItem="0"/>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1" format="6">
      <pivotArea type="data" outline="0" fieldPosition="0">
        <references count="2">
          <reference field="4294967294" count="1" selected="0">
            <x v="0"/>
          </reference>
          <reference field="10"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4" cacheId="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dataField="1" showAll="0">
      <items count="111">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6">
        <item x="0"/>
        <item x="1"/>
        <item x="2"/>
        <item x="3"/>
        <item x="4"/>
        <item t="default"/>
      </items>
    </pivotField>
  </pivotFields>
  <rowFields count="1">
    <field x="6"/>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1" name="PivotTable33"/>
  </pivotTables>
  <data>
    <tabular pivotCacheId="1">
      <items count="110">
        <i x="22" s="1"/>
        <i x="57" s="1"/>
        <i x="63" s="1"/>
        <i x="43" s="1"/>
        <i x="60" s="1"/>
        <i x="86" s="1"/>
        <i x="6" s="1"/>
        <i x="33" s="1"/>
        <i x="8" s="1"/>
        <i x="102" s="1"/>
        <i x="28" s="1"/>
        <i x="3" s="1"/>
        <i x="19" s="1"/>
        <i x="48" s="1"/>
        <i x="47" s="1"/>
        <i x="71" s="1"/>
        <i x="0" s="1"/>
        <i x="54" s="1"/>
        <i x="56" s="1"/>
        <i x="73" s="1"/>
        <i x="108" s="1"/>
        <i x="97" s="1"/>
        <i x="77" s="1"/>
        <i x="83" s="1"/>
        <i x="20" s="1"/>
        <i x="12" s="1"/>
        <i x="24" s="1"/>
        <i x="17" s="1"/>
        <i x="18" s="1"/>
        <i x="40" s="1"/>
        <i x="14" s="1"/>
        <i x="101" s="1"/>
        <i x="64" s="1"/>
        <i x="49" s="1"/>
        <i x="99" s="1"/>
        <i x="62" s="1"/>
        <i x="53" s="1"/>
        <i x="42" s="1"/>
        <i x="89" s="1"/>
        <i x="69" s="1"/>
        <i x="91" s="1"/>
        <i x="58" s="1"/>
        <i x="79" s="1"/>
        <i x="76" s="1"/>
        <i x="61" s="1"/>
        <i x="106" s="1"/>
        <i x="94" s="1"/>
        <i x="74" s="1"/>
        <i x="96" s="1"/>
        <i x="50" s="1"/>
        <i x="55" s="1"/>
        <i x="72" s="1"/>
        <i x="105" s="1"/>
        <i x="100" s="1"/>
        <i x="26" s="1"/>
        <i x="68" s="1"/>
        <i x="59" s="1"/>
        <i x="32" s="1"/>
        <i x="35" s="1"/>
        <i x="87" s="1"/>
        <i x="104" s="1"/>
        <i x="31" s="1"/>
        <i x="67" s="1"/>
        <i x="92" s="1"/>
        <i x="93" s="1"/>
        <i x="1" s="1"/>
        <i x="9" s="1"/>
        <i x="15" s="1"/>
        <i x="16" s="1"/>
        <i x="81" s="1"/>
        <i x="45" s="1"/>
        <i x="7" s="1"/>
        <i x="21" s="1"/>
        <i x="65" s="1"/>
        <i x="52" s="1"/>
        <i x="4" s="1"/>
        <i x="51" s="1"/>
        <i x="78" s="1"/>
        <i x="2" s="1"/>
        <i x="98" s="1"/>
        <i x="27" s="1"/>
        <i x="75" s="1"/>
        <i x="10" s="1"/>
        <i x="41" s="1"/>
        <i x="84" s="1"/>
        <i x="38" s="1"/>
        <i x="70" s="1"/>
        <i x="103" s="1"/>
        <i x="29" s="1"/>
        <i x="95" s="1"/>
        <i x="25" s="1"/>
        <i x="11" s="1"/>
        <i x="39" s="1"/>
        <i x="5" s="1"/>
        <i x="44" s="1"/>
        <i x="88" s="1"/>
        <i x="107" s="1"/>
        <i x="13" s="1"/>
        <i x="30" s="1"/>
        <i x="82" s="1"/>
        <i x="23" s="1"/>
        <i x="46" s="1"/>
        <i x="66" s="1"/>
        <i x="36" s="1"/>
        <i x="85" s="1"/>
        <i x="37" s="1"/>
        <i x="90" s="1"/>
        <i x="34" s="1"/>
        <i x="80" s="1"/>
        <i x="10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31" name="PivotTable33"/>
    <pivotTable tabId="12" name="PivotTable18"/>
    <pivotTable tabId="19" name="PivotTable29"/>
    <pivotTable tabId="20" name="PivotTable30"/>
    <pivotTable tabId="15" name="PivotTable20"/>
    <pivotTable tabId="16" name="PivotTable21"/>
    <pivotTable tabId="10" name="PivotTable16"/>
    <pivotTable tabId="9" name="PivotTable14"/>
    <pivotTable tabId="32" name="PivotTable34"/>
    <pivotTable tabId="11" name="PivotTable17"/>
    <pivotTable tabId="30" name="PivotTable32"/>
    <pivotTable tabId="13" name="PivotTable19"/>
    <pivotTable tabId="18" name="PivotTable28"/>
    <pivotTable tabId="21" name="PivotTable31"/>
  </pivotTables>
  <data>
    <tabular pivotCacheId="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32" name="PivotTable34"/>
  </pivotTables>
  <data>
    <tabular pivotCacheId="1">
      <items count="110">
        <i x="22" s="1"/>
        <i x="57" s="1"/>
        <i x="63" s="1"/>
        <i x="43" s="1"/>
        <i x="60" s="1"/>
        <i x="86" s="1"/>
        <i x="6" s="1"/>
        <i x="33" s="1"/>
        <i x="8" s="1"/>
        <i x="102" s="1"/>
        <i x="28" s="1"/>
        <i x="3" s="1"/>
        <i x="19" s="1"/>
        <i x="48" s="1"/>
        <i x="47" s="1"/>
        <i x="71" s="1"/>
        <i x="0" s="1"/>
        <i x="54" s="1"/>
        <i x="56" s="1"/>
        <i x="73" s="1"/>
        <i x="108" s="1"/>
        <i x="97" s="1"/>
        <i x="77" s="1"/>
        <i x="83" s="1"/>
        <i x="20" s="1"/>
        <i x="12" s="1"/>
        <i x="24" s="1"/>
        <i x="17" s="1"/>
        <i x="18" s="1"/>
        <i x="40" s="1"/>
        <i x="14" s="1"/>
        <i x="101" s="1"/>
        <i x="64" s="1"/>
        <i x="49" s="1"/>
        <i x="99" s="1"/>
        <i x="62" s="1"/>
        <i x="53" s="1"/>
        <i x="42" s="1"/>
        <i x="89" s="1"/>
        <i x="69" s="1"/>
        <i x="91" s="1"/>
        <i x="58" s="1"/>
        <i x="79" s="1"/>
        <i x="76" s="1"/>
        <i x="61" s="1"/>
        <i x="106" s="1"/>
        <i x="94" s="1"/>
        <i x="74" s="1"/>
        <i x="96" s="1"/>
        <i x="50" s="1"/>
        <i x="55" s="1"/>
        <i x="72" s="1"/>
        <i x="105" s="1"/>
        <i x="100" s="1"/>
        <i x="26" s="1"/>
        <i x="68" s="1"/>
        <i x="59" s="1"/>
        <i x="32" s="1"/>
        <i x="35" s="1"/>
        <i x="87" s="1"/>
        <i x="104" s="1"/>
        <i x="31" s="1"/>
        <i x="67" s="1"/>
        <i x="92" s="1"/>
        <i x="93" s="1"/>
        <i x="1" s="1"/>
        <i x="9" s="1"/>
        <i x="15" s="1"/>
        <i x="16" s="1"/>
        <i x="81" s="1"/>
        <i x="45" s="1"/>
        <i x="7" s="1"/>
        <i x="21" s="1"/>
        <i x="65" s="1"/>
        <i x="52" s="1"/>
        <i x="4" s="1"/>
        <i x="51" s="1"/>
        <i x="78" s="1"/>
        <i x="2" s="1"/>
        <i x="98" s="1"/>
        <i x="27" s="1"/>
        <i x="75" s="1"/>
        <i x="10" s="1"/>
        <i x="41" s="1"/>
        <i x="84" s="1"/>
        <i x="38" s="1"/>
        <i x="70" s="1"/>
        <i x="103" s="1"/>
        <i x="29" s="1"/>
        <i x="95" s="1"/>
        <i x="25" s="1"/>
        <i x="11" s="1"/>
        <i x="39" s="1"/>
        <i x="5" s="1"/>
        <i x="44" s="1"/>
        <i x="88" s="1"/>
        <i x="107" s="1"/>
        <i x="13" s="1"/>
        <i x="30" s="1"/>
        <i x="82" s="1"/>
        <i x="23" s="1"/>
        <i x="46" s="1"/>
        <i x="66" s="1"/>
        <i x="36" s="1"/>
        <i x="85" s="1"/>
        <i x="37" s="1"/>
        <i x="90" s="1"/>
        <i x="34" s="1"/>
        <i x="80" s="1"/>
        <i x="10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32" name="PivotTable34"/>
    <pivotTable tabId="12" name="PivotTable18"/>
    <pivotTable tabId="19" name="PivotTable29"/>
    <pivotTable tabId="20" name="PivotTable30"/>
    <pivotTable tabId="15" name="PivotTable20"/>
    <pivotTable tabId="16" name="PivotTable21"/>
    <pivotTable tabId="10" name="PivotTable16"/>
    <pivotTable tabId="9" name="PivotTable14"/>
    <pivotTable tabId="31" name="PivotTable33"/>
    <pivotTable tabId="11" name="PivotTable17"/>
    <pivotTable tabId="30" name="PivotTable32"/>
    <pivotTable tabId="13" name="PivotTable19"/>
    <pivotTable tabId="18" name="PivotTable28"/>
    <pivotTable tabId="21" name="PivotTable31"/>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artItem="1" rowHeight="241300"/>
  <slicer name="Rating Category"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 name="Discount Category"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3" cache="Slicer_Product" caption="Product" startItem="17" rowHeight="241300"/>
  <slicer name="Rating Category 1" cache="Slicer_Rating_Category" caption="Rating Category" rowHeight="241300"/>
  <slicer name="Product 2" cache="Slicer_Product1" caption="Product" rowHeight="241300"/>
  <slicer name="Discount Category 1" cache="Slicer_Discount_Category" caption="Discoun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D22" sqref="D22"/>
    </sheetView>
  </sheetViews>
  <sheetFormatPr defaultRowHeight="14.5" x14ac:dyDescent="0.35"/>
  <cols>
    <col min="1" max="1" width="21.453125" bestFit="1" customWidth="1"/>
    <col min="2" max="2" width="15.54296875" customWidth="1"/>
    <col min="3" max="3" width="26.1796875" bestFit="1" customWidth="1"/>
    <col min="4" max="4" width="17.54296875" bestFit="1" customWidth="1"/>
  </cols>
  <sheetData>
    <row r="3" spans="1:4" x14ac:dyDescent="0.35">
      <c r="A3" t="s">
        <v>330</v>
      </c>
      <c r="B3" t="s">
        <v>333</v>
      </c>
      <c r="C3" t="s">
        <v>332</v>
      </c>
      <c r="D3" t="s">
        <v>331</v>
      </c>
    </row>
    <row r="4" spans="1:4" x14ac:dyDescent="0.35">
      <c r="A4" s="7">
        <v>1208.2568807339449</v>
      </c>
      <c r="B4" s="7">
        <v>3.8894736842105258</v>
      </c>
      <c r="C4" s="7">
        <v>0.36316851960735053</v>
      </c>
      <c r="D4" s="7">
        <v>1837.7522935779816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3" sqref="A3"/>
    </sheetView>
  </sheetViews>
  <sheetFormatPr defaultRowHeight="14.5" x14ac:dyDescent="0.35"/>
  <cols>
    <col min="1" max="1" width="12.36328125" bestFit="1" customWidth="1"/>
    <col min="2" max="2" width="15.54296875" bestFit="1" customWidth="1"/>
    <col min="3" max="3" width="26.1796875" bestFit="1" customWidth="1"/>
  </cols>
  <sheetData>
    <row r="3" spans="1:3" x14ac:dyDescent="0.35">
      <c r="A3" s="8" t="s">
        <v>334</v>
      </c>
      <c r="B3" t="s">
        <v>333</v>
      </c>
      <c r="C3" t="s">
        <v>332</v>
      </c>
    </row>
    <row r="4" spans="1:3" x14ac:dyDescent="0.35">
      <c r="A4" s="9" t="s">
        <v>335</v>
      </c>
      <c r="B4" s="7">
        <v>3.6133333333333324</v>
      </c>
      <c r="C4" s="7">
        <v>0.48173885217654816</v>
      </c>
    </row>
    <row r="5" spans="1:3" x14ac:dyDescent="0.35">
      <c r="A5" s="9" t="s">
        <v>336</v>
      </c>
      <c r="B5" s="7">
        <v>3.7249999999999996</v>
      </c>
      <c r="C5" s="7">
        <v>7.227592305560436E-2</v>
      </c>
    </row>
    <row r="6" spans="1:3" x14ac:dyDescent="0.35">
      <c r="A6" s="9" t="s">
        <v>337</v>
      </c>
      <c r="B6" s="7">
        <v>4.2782608695652184</v>
      </c>
      <c r="C6" s="7">
        <v>0.30818155449324991</v>
      </c>
    </row>
    <row r="7" spans="1:3" x14ac:dyDescent="0.35">
      <c r="A7" s="9" t="s">
        <v>338</v>
      </c>
      <c r="B7" s="7">
        <v>3.8894736842105253</v>
      </c>
      <c r="C7" s="7">
        <v>0.36316851960735069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339</v>
      </c>
      <c r="B4" s="7">
        <v>22</v>
      </c>
    </row>
    <row r="5" spans="1:2" x14ac:dyDescent="0.35">
      <c r="A5" s="9" t="s">
        <v>340</v>
      </c>
      <c r="B5" s="7">
        <v>23</v>
      </c>
    </row>
    <row r="6" spans="1:2" x14ac:dyDescent="0.35">
      <c r="A6" s="9" t="s">
        <v>328</v>
      </c>
      <c r="B6" s="7">
        <v>52</v>
      </c>
    </row>
    <row r="7" spans="1:2" x14ac:dyDescent="0.35">
      <c r="A7" s="9" t="s">
        <v>341</v>
      </c>
      <c r="B7" s="7">
        <v>12</v>
      </c>
    </row>
    <row r="8" spans="1:2" x14ac:dyDescent="0.35">
      <c r="A8" s="9" t="s">
        <v>338</v>
      </c>
      <c r="B8" s="7">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F20" sqref="F20"/>
    </sheetView>
  </sheetViews>
  <sheetFormatPr defaultRowHeight="14.5" x14ac:dyDescent="0.35"/>
  <cols>
    <col min="1" max="1" width="12.36328125" bestFit="1" customWidth="1"/>
    <col min="2" max="2" width="24.81640625" bestFit="1" customWidth="1"/>
  </cols>
  <sheetData>
    <row r="3" spans="1:2" x14ac:dyDescent="0.35">
      <c r="A3" s="8" t="s">
        <v>334</v>
      </c>
      <c r="B3" t="s">
        <v>344</v>
      </c>
    </row>
    <row r="4" spans="1:2" x14ac:dyDescent="0.35">
      <c r="A4" s="9">
        <v>2</v>
      </c>
      <c r="B4" s="7">
        <v>1</v>
      </c>
    </row>
    <row r="5" spans="1:2" x14ac:dyDescent="0.35">
      <c r="A5" s="9">
        <v>2.1</v>
      </c>
      <c r="B5" s="7">
        <v>10</v>
      </c>
    </row>
    <row r="6" spans="1:2" x14ac:dyDescent="0.35">
      <c r="A6" s="9">
        <v>2.2000000000000002</v>
      </c>
      <c r="B6" s="7">
        <v>6</v>
      </c>
    </row>
    <row r="7" spans="1:2" x14ac:dyDescent="0.35">
      <c r="A7" s="9">
        <v>2.2999999999999998</v>
      </c>
      <c r="B7" s="7">
        <v>6.5</v>
      </c>
    </row>
    <row r="8" spans="1:2" x14ac:dyDescent="0.35">
      <c r="A8" s="9">
        <v>2.5</v>
      </c>
      <c r="B8" s="7">
        <v>6</v>
      </c>
    </row>
    <row r="9" spans="1:2" x14ac:dyDescent="0.35">
      <c r="A9" s="9">
        <v>2.6</v>
      </c>
      <c r="B9" s="7">
        <v>17</v>
      </c>
    </row>
    <row r="10" spans="1:2" x14ac:dyDescent="0.35">
      <c r="A10" s="9">
        <v>2.7</v>
      </c>
      <c r="B10" s="7">
        <v>15</v>
      </c>
    </row>
    <row r="11" spans="1:2" x14ac:dyDescent="0.35">
      <c r="A11" s="9">
        <v>2.8</v>
      </c>
      <c r="B11" s="7">
        <v>69</v>
      </c>
    </row>
    <row r="12" spans="1:2" x14ac:dyDescent="0.35">
      <c r="A12" s="9">
        <v>2.9</v>
      </c>
      <c r="B12" s="7">
        <v>16</v>
      </c>
    </row>
    <row r="13" spans="1:2" x14ac:dyDescent="0.35">
      <c r="A13" s="9">
        <v>3</v>
      </c>
      <c r="B13" s="7">
        <v>5.2</v>
      </c>
    </row>
    <row r="14" spans="1:2" x14ac:dyDescent="0.35">
      <c r="A14" s="9">
        <v>3.3</v>
      </c>
      <c r="B14" s="7">
        <v>13</v>
      </c>
    </row>
    <row r="15" spans="1:2" x14ac:dyDescent="0.35">
      <c r="A15" s="9">
        <v>3.8</v>
      </c>
      <c r="B15" s="7">
        <v>10</v>
      </c>
    </row>
    <row r="16" spans="1:2" x14ac:dyDescent="0.35">
      <c r="A16" s="9">
        <v>4</v>
      </c>
      <c r="B16" s="7">
        <v>6</v>
      </c>
    </row>
    <row r="17" spans="1:2" x14ac:dyDescent="0.35">
      <c r="A17" s="9">
        <v>4.0999999999999996</v>
      </c>
      <c r="B17" s="7">
        <v>15.333333333333334</v>
      </c>
    </row>
    <row r="18" spans="1:2" x14ac:dyDescent="0.35">
      <c r="A18" s="9">
        <v>4.2</v>
      </c>
      <c r="B18" s="7">
        <v>9</v>
      </c>
    </row>
    <row r="19" spans="1:2" x14ac:dyDescent="0.35">
      <c r="A19" s="9">
        <v>4.3</v>
      </c>
      <c r="B19" s="7">
        <v>15.25</v>
      </c>
    </row>
    <row r="20" spans="1:2" x14ac:dyDescent="0.35">
      <c r="A20" s="9">
        <v>4.4000000000000004</v>
      </c>
      <c r="B20" s="7">
        <v>14</v>
      </c>
    </row>
    <row r="21" spans="1:2" x14ac:dyDescent="0.35">
      <c r="A21" s="9">
        <v>4.5</v>
      </c>
      <c r="B21" s="7">
        <v>10.5</v>
      </c>
    </row>
    <row r="22" spans="1:2" x14ac:dyDescent="0.35">
      <c r="A22" s="9">
        <v>4.5999999999999996</v>
      </c>
      <c r="B22" s="7">
        <v>35.4</v>
      </c>
    </row>
    <row r="23" spans="1:2" x14ac:dyDescent="0.35">
      <c r="A23" s="9">
        <v>4.7</v>
      </c>
      <c r="B23" s="7">
        <v>19.5</v>
      </c>
    </row>
    <row r="24" spans="1:2" x14ac:dyDescent="0.35">
      <c r="A24" s="9">
        <v>4.8</v>
      </c>
      <c r="B24" s="7">
        <v>7.333333333333333</v>
      </c>
    </row>
    <row r="25" spans="1:2" x14ac:dyDescent="0.35">
      <c r="A25" s="9">
        <v>5</v>
      </c>
      <c r="B25" s="7">
        <v>1.7142857142857142</v>
      </c>
    </row>
    <row r="26" spans="1:2" x14ac:dyDescent="0.35">
      <c r="A26" s="9" t="s">
        <v>328</v>
      </c>
      <c r="B26" s="7">
        <v>0</v>
      </c>
    </row>
    <row r="27" spans="1:2" x14ac:dyDescent="0.35">
      <c r="A27" s="9" t="s">
        <v>338</v>
      </c>
      <c r="B27" s="7">
        <v>6.6330275229357802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7"/>
  <sheetViews>
    <sheetView topLeftCell="A87" workbookViewId="0">
      <selection activeCell="B106" sqref="B106:B107"/>
    </sheetView>
  </sheetViews>
  <sheetFormatPr defaultRowHeight="14.5" x14ac:dyDescent="0.35"/>
  <cols>
    <col min="1" max="1" width="12.36328125" bestFit="1" customWidth="1"/>
    <col min="2" max="2" width="24.81640625" bestFit="1" customWidth="1"/>
    <col min="3" max="3" width="15.26953125" bestFit="1" customWidth="1"/>
  </cols>
  <sheetData>
    <row r="3" spans="1:3" x14ac:dyDescent="0.35">
      <c r="A3" s="8" t="s">
        <v>334</v>
      </c>
      <c r="B3" t="s">
        <v>344</v>
      </c>
      <c r="C3" t="s">
        <v>342</v>
      </c>
    </row>
    <row r="4" spans="1:3" x14ac:dyDescent="0.35">
      <c r="A4" s="9">
        <v>1.2638230647709321E-2</v>
      </c>
      <c r="B4" s="7">
        <v>0</v>
      </c>
      <c r="C4" s="7">
        <v>1</v>
      </c>
    </row>
    <row r="5" spans="1:3" x14ac:dyDescent="0.35">
      <c r="A5" s="9">
        <v>1.705855232826187E-2</v>
      </c>
      <c r="B5" s="7">
        <v>0</v>
      </c>
      <c r="C5" s="7">
        <v>1</v>
      </c>
    </row>
    <row r="6" spans="1:3" x14ac:dyDescent="0.35">
      <c r="A6" s="9">
        <v>1.7231795441912175E-2</v>
      </c>
      <c r="B6" s="7">
        <v>0</v>
      </c>
      <c r="C6" s="7">
        <v>1</v>
      </c>
    </row>
    <row r="7" spans="1:3" x14ac:dyDescent="0.35">
      <c r="A7" s="9">
        <v>1.9423190111830489E-2</v>
      </c>
      <c r="B7" s="7">
        <v>0</v>
      </c>
      <c r="C7" s="7">
        <v>1</v>
      </c>
    </row>
    <row r="8" spans="1:3" x14ac:dyDescent="0.35">
      <c r="A8" s="9">
        <v>2.2954679223072396E-2</v>
      </c>
      <c r="B8" s="7">
        <v>0</v>
      </c>
      <c r="C8" s="7">
        <v>1</v>
      </c>
    </row>
    <row r="9" spans="1:3" x14ac:dyDescent="0.35">
      <c r="A9" s="9">
        <v>2.4131842260153032E-2</v>
      </c>
      <c r="B9" s="7">
        <v>0</v>
      </c>
      <c r="C9" s="7">
        <v>1</v>
      </c>
    </row>
    <row r="10" spans="1:3" x14ac:dyDescent="0.35">
      <c r="A10" s="9">
        <v>2.4683122081387593E-2</v>
      </c>
      <c r="B10" s="7">
        <v>0</v>
      </c>
      <c r="C10" s="7">
        <v>1</v>
      </c>
    </row>
    <row r="11" spans="1:3" x14ac:dyDescent="0.35">
      <c r="A11" s="9">
        <v>2.6684456304202801E-2</v>
      </c>
      <c r="B11" s="7">
        <v>0</v>
      </c>
      <c r="C11" s="7">
        <v>1</v>
      </c>
    </row>
    <row r="12" spans="1:3" x14ac:dyDescent="0.35">
      <c r="A12" s="9">
        <v>3.7242912729294052E-2</v>
      </c>
      <c r="B12" s="7">
        <v>0</v>
      </c>
      <c r="C12" s="7">
        <v>1</v>
      </c>
    </row>
    <row r="13" spans="1:3" x14ac:dyDescent="0.35">
      <c r="A13" s="9">
        <v>4.1362530413625302E-2</v>
      </c>
      <c r="B13" s="7">
        <v>0</v>
      </c>
      <c r="C13" s="7">
        <v>1</v>
      </c>
    </row>
    <row r="14" spans="1:3" x14ac:dyDescent="0.35">
      <c r="A14" s="9">
        <v>8.0722891566265054E-2</v>
      </c>
      <c r="B14" s="7">
        <v>0</v>
      </c>
      <c r="C14" s="7">
        <v>1</v>
      </c>
    </row>
    <row r="15" spans="1:3" x14ac:dyDescent="0.35">
      <c r="A15" s="9">
        <v>8.8449848024316116E-2</v>
      </c>
      <c r="B15" s="7">
        <v>15</v>
      </c>
      <c r="C15" s="7">
        <v>1</v>
      </c>
    </row>
    <row r="16" spans="1:3" x14ac:dyDescent="0.35">
      <c r="A16" s="9">
        <v>0.11222222222222222</v>
      </c>
      <c r="B16" s="7">
        <v>0</v>
      </c>
      <c r="C16" s="7">
        <v>1</v>
      </c>
    </row>
    <row r="17" spans="1:3" x14ac:dyDescent="0.35">
      <c r="A17" s="9">
        <v>0.13200000000000001</v>
      </c>
      <c r="B17" s="7">
        <v>6</v>
      </c>
      <c r="C17" s="7">
        <v>1</v>
      </c>
    </row>
    <row r="18" spans="1:3" x14ac:dyDescent="0.35">
      <c r="A18" s="9">
        <v>0.13596233078281342</v>
      </c>
      <c r="B18" s="7">
        <v>0</v>
      </c>
      <c r="C18" s="7">
        <v>1</v>
      </c>
    </row>
    <row r="19" spans="1:3" x14ac:dyDescent="0.35">
      <c r="A19" s="9">
        <v>0.13713949381989404</v>
      </c>
      <c r="B19" s="7">
        <v>0</v>
      </c>
      <c r="C19" s="7">
        <v>1</v>
      </c>
    </row>
    <row r="20" spans="1:3" x14ac:dyDescent="0.35">
      <c r="A20" s="9">
        <v>0.18181818181818182</v>
      </c>
      <c r="B20" s="7">
        <v>12</v>
      </c>
      <c r="C20" s="7">
        <v>1</v>
      </c>
    </row>
    <row r="21" spans="1:3" x14ac:dyDescent="0.35">
      <c r="A21" s="9">
        <v>0.18924033522573669</v>
      </c>
      <c r="B21" s="7">
        <v>5</v>
      </c>
      <c r="C21" s="7">
        <v>1</v>
      </c>
    </row>
    <row r="22" spans="1:3" x14ac:dyDescent="0.35">
      <c r="A22" s="9">
        <v>0.20020020020020021</v>
      </c>
      <c r="B22" s="7">
        <v>12</v>
      </c>
      <c r="C22" s="7">
        <v>1</v>
      </c>
    </row>
    <row r="23" spans="1:3" x14ac:dyDescent="0.35">
      <c r="A23" s="9">
        <v>0.20662598081952921</v>
      </c>
      <c r="B23" s="7">
        <v>1</v>
      </c>
      <c r="C23" s="7">
        <v>1</v>
      </c>
    </row>
    <row r="24" spans="1:3" x14ac:dyDescent="0.35">
      <c r="A24" s="9">
        <v>0.21543408360128619</v>
      </c>
      <c r="B24" s="7">
        <v>16</v>
      </c>
      <c r="C24" s="7">
        <v>1</v>
      </c>
    </row>
    <row r="25" spans="1:3" x14ac:dyDescent="0.35">
      <c r="A25" s="9">
        <v>0.22135416666666666</v>
      </c>
      <c r="B25" s="7">
        <v>0</v>
      </c>
      <c r="C25" s="7">
        <v>1</v>
      </c>
    </row>
    <row r="26" spans="1:3" x14ac:dyDescent="0.35">
      <c r="A26" s="9">
        <v>0.23255813953488372</v>
      </c>
      <c r="B26" s="7">
        <v>14</v>
      </c>
      <c r="C26" s="7">
        <v>1</v>
      </c>
    </row>
    <row r="27" spans="1:3" x14ac:dyDescent="0.35">
      <c r="A27" s="9">
        <v>0.23515831134564644</v>
      </c>
      <c r="B27" s="7">
        <v>55</v>
      </c>
      <c r="C27" s="7">
        <v>1</v>
      </c>
    </row>
    <row r="28" spans="1:3" x14ac:dyDescent="0.35">
      <c r="A28" s="9">
        <v>0.23846153846153847</v>
      </c>
      <c r="B28" s="7">
        <v>0</v>
      </c>
      <c r="C28" s="7">
        <v>1</v>
      </c>
    </row>
    <row r="29" spans="1:3" x14ac:dyDescent="0.35">
      <c r="A29" s="9">
        <v>0.24769072870338693</v>
      </c>
      <c r="B29" s="7">
        <v>24</v>
      </c>
      <c r="C29" s="7">
        <v>1</v>
      </c>
    </row>
    <row r="30" spans="1:3" x14ac:dyDescent="0.35">
      <c r="A30" s="9">
        <v>0.26146010186757218</v>
      </c>
      <c r="B30" s="7">
        <v>5</v>
      </c>
      <c r="C30" s="7">
        <v>1</v>
      </c>
    </row>
    <row r="31" spans="1:3" x14ac:dyDescent="0.35">
      <c r="A31" s="9">
        <v>0.26535433070866143</v>
      </c>
      <c r="B31" s="7">
        <v>0</v>
      </c>
      <c r="C31" s="7">
        <v>1</v>
      </c>
    </row>
    <row r="32" spans="1:3" x14ac:dyDescent="0.35">
      <c r="A32" s="9">
        <v>0.26639496109670247</v>
      </c>
      <c r="B32" s="7">
        <v>32</v>
      </c>
      <c r="C32" s="7">
        <v>1</v>
      </c>
    </row>
    <row r="33" spans="1:3" x14ac:dyDescent="0.35">
      <c r="A33" s="9">
        <v>0.26792452830188679</v>
      </c>
      <c r="B33" s="7">
        <v>20</v>
      </c>
      <c r="C33" s="7">
        <v>1</v>
      </c>
    </row>
    <row r="34" spans="1:3" x14ac:dyDescent="0.35">
      <c r="A34" s="9">
        <v>0.29012345679012347</v>
      </c>
      <c r="B34" s="7">
        <v>5</v>
      </c>
      <c r="C34" s="7">
        <v>1</v>
      </c>
    </row>
    <row r="35" spans="1:3" x14ac:dyDescent="0.35">
      <c r="A35" s="9">
        <v>0.2965186074429772</v>
      </c>
      <c r="B35" s="7">
        <v>20</v>
      </c>
      <c r="C35" s="7">
        <v>1</v>
      </c>
    </row>
    <row r="36" spans="1:3" x14ac:dyDescent="0.35">
      <c r="A36" s="9">
        <v>0.32160804020100503</v>
      </c>
      <c r="B36" s="7">
        <v>13</v>
      </c>
      <c r="C36" s="7">
        <v>1</v>
      </c>
    </row>
    <row r="37" spans="1:3" x14ac:dyDescent="0.35">
      <c r="A37" s="9">
        <v>0.32773109243697479</v>
      </c>
      <c r="B37" s="7">
        <v>9</v>
      </c>
      <c r="C37" s="7">
        <v>1</v>
      </c>
    </row>
    <row r="38" spans="1:3" x14ac:dyDescent="0.35">
      <c r="A38" s="9">
        <v>0.33333333333333331</v>
      </c>
      <c r="B38" s="7">
        <v>1</v>
      </c>
      <c r="C38" s="7">
        <v>2</v>
      </c>
    </row>
    <row r="39" spans="1:3" x14ac:dyDescent="0.35">
      <c r="A39" s="9">
        <v>0.3379389752446747</v>
      </c>
      <c r="B39" s="7">
        <v>0</v>
      </c>
      <c r="C39" s="7">
        <v>1</v>
      </c>
    </row>
    <row r="40" spans="1:3" x14ac:dyDescent="0.35">
      <c r="A40" s="9">
        <v>0.34</v>
      </c>
      <c r="B40" s="7">
        <v>39</v>
      </c>
      <c r="C40" s="7">
        <v>1</v>
      </c>
    </row>
    <row r="41" spans="1:3" x14ac:dyDescent="0.35">
      <c r="A41" s="9">
        <v>0.34228187919463088</v>
      </c>
      <c r="B41" s="7">
        <v>12</v>
      </c>
      <c r="C41" s="7">
        <v>1</v>
      </c>
    </row>
    <row r="42" spans="1:3" x14ac:dyDescent="0.35">
      <c r="A42" s="9">
        <v>0.34254143646408841</v>
      </c>
      <c r="B42" s="7">
        <v>0</v>
      </c>
      <c r="C42" s="7">
        <v>1</v>
      </c>
    </row>
    <row r="43" spans="1:3" x14ac:dyDescent="0.35">
      <c r="A43" s="9">
        <v>0.34814814814814815</v>
      </c>
      <c r="B43" s="7">
        <v>6</v>
      </c>
      <c r="C43" s="7">
        <v>1</v>
      </c>
    </row>
    <row r="44" spans="1:3" x14ac:dyDescent="0.35">
      <c r="A44" s="9">
        <v>0.3508500772797527</v>
      </c>
      <c r="B44" s="7">
        <v>49</v>
      </c>
      <c r="C44" s="7">
        <v>1</v>
      </c>
    </row>
    <row r="45" spans="1:3" x14ac:dyDescent="0.35">
      <c r="A45" s="9">
        <v>0.36244541484716158</v>
      </c>
      <c r="B45" s="7">
        <v>0</v>
      </c>
      <c r="C45" s="7">
        <v>1</v>
      </c>
    </row>
    <row r="46" spans="1:3" x14ac:dyDescent="0.35">
      <c r="A46" s="9">
        <v>0.36774709883953582</v>
      </c>
      <c r="B46" s="7">
        <v>7</v>
      </c>
      <c r="C46" s="7">
        <v>1</v>
      </c>
    </row>
    <row r="47" spans="1:3" x14ac:dyDescent="0.35">
      <c r="A47" s="9">
        <v>0.37468354430379747</v>
      </c>
      <c r="B47" s="7">
        <v>2</v>
      </c>
      <c r="C47" s="7">
        <v>1</v>
      </c>
    </row>
    <row r="48" spans="1:3" x14ac:dyDescent="0.35">
      <c r="A48" s="9">
        <v>0.37704918032786883</v>
      </c>
      <c r="B48" s="7">
        <v>2</v>
      </c>
      <c r="C48" s="7">
        <v>1</v>
      </c>
    </row>
    <row r="49" spans="1:3" x14ac:dyDescent="0.35">
      <c r="A49" s="9">
        <v>0.38461538461538464</v>
      </c>
      <c r="B49" s="7">
        <v>0</v>
      </c>
      <c r="C49" s="7">
        <v>1</v>
      </c>
    </row>
    <row r="50" spans="1:3" x14ac:dyDescent="0.35">
      <c r="A50" s="9">
        <v>0.38492507269067322</v>
      </c>
      <c r="B50" s="7">
        <v>0</v>
      </c>
      <c r="C50" s="7">
        <v>1</v>
      </c>
    </row>
    <row r="51" spans="1:3" x14ac:dyDescent="0.35">
      <c r="A51" s="9">
        <v>0.38954908025394758</v>
      </c>
      <c r="B51" s="7">
        <v>5</v>
      </c>
      <c r="C51" s="7">
        <v>1</v>
      </c>
    </row>
    <row r="52" spans="1:3" x14ac:dyDescent="0.35">
      <c r="A52" s="9">
        <v>0.39776951672862454</v>
      </c>
      <c r="B52" s="7">
        <v>1</v>
      </c>
      <c r="C52" s="7">
        <v>1</v>
      </c>
    </row>
    <row r="53" spans="1:3" x14ac:dyDescent="0.35">
      <c r="A53" s="9">
        <v>0.4050632911392405</v>
      </c>
      <c r="B53" s="7">
        <v>0</v>
      </c>
      <c r="C53" s="7">
        <v>1</v>
      </c>
    </row>
    <row r="54" spans="1:3" x14ac:dyDescent="0.35">
      <c r="A54" s="9">
        <v>0.40701219512195119</v>
      </c>
      <c r="B54" s="7">
        <v>36</v>
      </c>
      <c r="C54" s="7">
        <v>1</v>
      </c>
    </row>
    <row r="55" spans="1:3" x14ac:dyDescent="0.35">
      <c r="A55" s="9">
        <v>0.41322314049586778</v>
      </c>
      <c r="B55" s="7">
        <v>0</v>
      </c>
      <c r="C55" s="7">
        <v>1</v>
      </c>
    </row>
    <row r="56" spans="1:3" x14ac:dyDescent="0.35">
      <c r="A56" s="9">
        <v>0.41744186046511628</v>
      </c>
      <c r="B56" s="7">
        <v>6</v>
      </c>
      <c r="C56" s="7">
        <v>1</v>
      </c>
    </row>
    <row r="57" spans="1:3" x14ac:dyDescent="0.35">
      <c r="A57" s="9">
        <v>0.42236024844720499</v>
      </c>
      <c r="B57" s="7">
        <v>0</v>
      </c>
      <c r="C57" s="7">
        <v>1</v>
      </c>
    </row>
    <row r="58" spans="1:3" x14ac:dyDescent="0.35">
      <c r="A58" s="9">
        <v>0.42369263607257202</v>
      </c>
      <c r="B58" s="7">
        <v>0</v>
      </c>
      <c r="C58" s="7">
        <v>1</v>
      </c>
    </row>
    <row r="59" spans="1:3" x14ac:dyDescent="0.35">
      <c r="A59" s="9">
        <v>0.42452830188679247</v>
      </c>
      <c r="B59" s="7">
        <v>0</v>
      </c>
      <c r="C59" s="7">
        <v>1</v>
      </c>
    </row>
    <row r="60" spans="1:3" x14ac:dyDescent="0.35">
      <c r="A60" s="9">
        <v>0.42499999999999999</v>
      </c>
      <c r="B60" s="7">
        <v>0</v>
      </c>
      <c r="C60" s="7">
        <v>1</v>
      </c>
    </row>
    <row r="61" spans="1:3" x14ac:dyDescent="0.35">
      <c r="A61" s="9">
        <v>0.42691029900332228</v>
      </c>
      <c r="B61" s="7">
        <v>6</v>
      </c>
      <c r="C61" s="7">
        <v>1</v>
      </c>
    </row>
    <row r="62" spans="1:3" x14ac:dyDescent="0.35">
      <c r="A62" s="9">
        <v>0.42727272727272725</v>
      </c>
      <c r="B62" s="7">
        <v>0</v>
      </c>
      <c r="C62" s="7">
        <v>1</v>
      </c>
    </row>
    <row r="63" spans="1:3" x14ac:dyDescent="0.35">
      <c r="A63" s="9">
        <v>0.43381535038932145</v>
      </c>
      <c r="B63" s="7">
        <v>5</v>
      </c>
      <c r="C63" s="7">
        <v>1</v>
      </c>
    </row>
    <row r="64" spans="1:3" x14ac:dyDescent="0.35">
      <c r="A64" s="9">
        <v>0.44555555555555554</v>
      </c>
      <c r="B64" s="7">
        <v>0</v>
      </c>
      <c r="C64" s="7">
        <v>1</v>
      </c>
    </row>
    <row r="65" spans="1:3" x14ac:dyDescent="0.35">
      <c r="A65" s="9">
        <v>0.45373847729600547</v>
      </c>
      <c r="B65" s="7">
        <v>5</v>
      </c>
      <c r="C65" s="7">
        <v>1</v>
      </c>
    </row>
    <row r="66" spans="1:3" x14ac:dyDescent="0.35">
      <c r="A66" s="9">
        <v>0.45424476295479604</v>
      </c>
      <c r="B66" s="7">
        <v>6</v>
      </c>
      <c r="C66" s="7">
        <v>1</v>
      </c>
    </row>
    <row r="67" spans="1:3" x14ac:dyDescent="0.35">
      <c r="A67" s="9">
        <v>0.45428571428571429</v>
      </c>
      <c r="B67" s="7">
        <v>17</v>
      </c>
      <c r="C67" s="7">
        <v>1</v>
      </c>
    </row>
    <row r="68" spans="1:3" x14ac:dyDescent="0.35">
      <c r="A68" s="9">
        <v>0.45833333333333331</v>
      </c>
      <c r="B68" s="7">
        <v>2</v>
      </c>
      <c r="C68" s="7">
        <v>1</v>
      </c>
    </row>
    <row r="69" spans="1:3" x14ac:dyDescent="0.35">
      <c r="A69" s="9">
        <v>0.45929968167348795</v>
      </c>
      <c r="B69" s="7">
        <v>1</v>
      </c>
      <c r="C69" s="7">
        <v>1</v>
      </c>
    </row>
    <row r="70" spans="1:3" x14ac:dyDescent="0.35">
      <c r="A70" s="9">
        <v>0.46078431372549017</v>
      </c>
      <c r="B70" s="7">
        <v>0</v>
      </c>
      <c r="C70" s="7">
        <v>1</v>
      </c>
    </row>
    <row r="71" spans="1:3" x14ac:dyDescent="0.35">
      <c r="A71" s="9">
        <v>0.46637265711135611</v>
      </c>
      <c r="B71" s="7">
        <v>6</v>
      </c>
      <c r="C71" s="7">
        <v>1</v>
      </c>
    </row>
    <row r="72" spans="1:3" x14ac:dyDescent="0.35">
      <c r="A72" s="9">
        <v>0.46666666666666667</v>
      </c>
      <c r="B72" s="7">
        <v>12</v>
      </c>
      <c r="C72" s="7">
        <v>1</v>
      </c>
    </row>
    <row r="73" spans="1:3" x14ac:dyDescent="0.35">
      <c r="A73" s="9">
        <v>0.46801346801346799</v>
      </c>
      <c r="B73" s="7">
        <v>0</v>
      </c>
      <c r="C73" s="7">
        <v>1</v>
      </c>
    </row>
    <row r="74" spans="1:3" x14ac:dyDescent="0.35">
      <c r="A74" s="9">
        <v>0.47086521483225424</v>
      </c>
      <c r="B74" s="7">
        <v>0</v>
      </c>
      <c r="C74" s="7">
        <v>1</v>
      </c>
    </row>
    <row r="75" spans="1:3" x14ac:dyDescent="0.35">
      <c r="A75" s="9">
        <v>0.47187499999999999</v>
      </c>
      <c r="B75" s="7">
        <v>0</v>
      </c>
      <c r="C75" s="7">
        <v>1</v>
      </c>
    </row>
    <row r="76" spans="1:3" x14ac:dyDescent="0.35">
      <c r="A76" s="9">
        <v>0.47247247247247248</v>
      </c>
      <c r="B76" s="7">
        <v>14</v>
      </c>
      <c r="C76" s="7">
        <v>1</v>
      </c>
    </row>
    <row r="77" spans="1:3" x14ac:dyDescent="0.35">
      <c r="A77" s="9">
        <v>0.4745649263721553</v>
      </c>
      <c r="B77" s="7">
        <v>7</v>
      </c>
      <c r="C77" s="7">
        <v>1</v>
      </c>
    </row>
    <row r="78" spans="1:3" x14ac:dyDescent="0.35">
      <c r="A78" s="9">
        <v>0.47499999999999998</v>
      </c>
      <c r="B78" s="7">
        <v>0</v>
      </c>
      <c r="C78" s="7">
        <v>1</v>
      </c>
    </row>
    <row r="79" spans="1:3" x14ac:dyDescent="0.35">
      <c r="A79" s="9">
        <v>0.47851002865329512</v>
      </c>
      <c r="B79" s="7">
        <v>9</v>
      </c>
      <c r="C79" s="7">
        <v>1</v>
      </c>
    </row>
    <row r="80" spans="1:3" x14ac:dyDescent="0.35">
      <c r="A80" s="9">
        <v>0.47952345495160087</v>
      </c>
      <c r="B80" s="7">
        <v>0</v>
      </c>
      <c r="C80" s="7">
        <v>1</v>
      </c>
    </row>
    <row r="81" spans="1:3" x14ac:dyDescent="0.35">
      <c r="A81" s="9">
        <v>0.48</v>
      </c>
      <c r="B81" s="7">
        <v>0</v>
      </c>
      <c r="C81" s="7">
        <v>1</v>
      </c>
    </row>
    <row r="82" spans="1:3" x14ac:dyDescent="0.35">
      <c r="A82" s="9">
        <v>0.48888888888888887</v>
      </c>
      <c r="B82" s="7">
        <v>0</v>
      </c>
      <c r="C82" s="7">
        <v>1</v>
      </c>
    </row>
    <row r="83" spans="1:3" x14ac:dyDescent="0.35">
      <c r="A83" s="9">
        <v>0.48971193415637859</v>
      </c>
      <c r="B83" s="7">
        <v>0</v>
      </c>
      <c r="C83" s="7">
        <v>1</v>
      </c>
    </row>
    <row r="84" spans="1:3" x14ac:dyDescent="0.35">
      <c r="A84" s="9">
        <v>0.48975791433891991</v>
      </c>
      <c r="B84" s="7">
        <v>0</v>
      </c>
      <c r="C84" s="7">
        <v>1</v>
      </c>
    </row>
    <row r="85" spans="1:3" x14ac:dyDescent="0.35">
      <c r="A85" s="9">
        <v>0.48979591836734693</v>
      </c>
      <c r="B85" s="7">
        <v>0</v>
      </c>
      <c r="C85" s="7">
        <v>2</v>
      </c>
    </row>
    <row r="86" spans="1:3" x14ac:dyDescent="0.35">
      <c r="A86" s="9">
        <v>0.48995363214837712</v>
      </c>
      <c r="B86" s="7">
        <v>1</v>
      </c>
      <c r="C86" s="7">
        <v>1</v>
      </c>
    </row>
    <row r="87" spans="1:3" x14ac:dyDescent="0.35">
      <c r="A87" s="9">
        <v>0.49005288340468395</v>
      </c>
      <c r="B87" s="7">
        <v>3</v>
      </c>
      <c r="C87" s="7">
        <v>1</v>
      </c>
    </row>
    <row r="88" spans="1:3" x14ac:dyDescent="0.35">
      <c r="A88" s="9">
        <v>0.49010416666666667</v>
      </c>
      <c r="B88" s="7">
        <v>1</v>
      </c>
      <c r="C88" s="7">
        <v>1</v>
      </c>
    </row>
    <row r="89" spans="1:3" x14ac:dyDescent="0.35">
      <c r="A89" s="9">
        <v>0.49010848755583919</v>
      </c>
      <c r="B89" s="7">
        <v>0</v>
      </c>
      <c r="C89" s="7">
        <v>1</v>
      </c>
    </row>
    <row r="90" spans="1:3" x14ac:dyDescent="0.35">
      <c r="A90" s="9">
        <v>0.49012158054711247</v>
      </c>
      <c r="B90" s="7">
        <v>0</v>
      </c>
      <c r="C90" s="7">
        <v>1</v>
      </c>
    </row>
    <row r="91" spans="1:3" x14ac:dyDescent="0.35">
      <c r="A91" s="9">
        <v>0.49026345933562426</v>
      </c>
      <c r="B91" s="7">
        <v>69</v>
      </c>
      <c r="C91" s="7">
        <v>1</v>
      </c>
    </row>
    <row r="92" spans="1:3" x14ac:dyDescent="0.35">
      <c r="A92" s="9">
        <v>0.49237029501525942</v>
      </c>
      <c r="B92" s="7">
        <v>44</v>
      </c>
      <c r="C92" s="7">
        <v>1</v>
      </c>
    </row>
    <row r="93" spans="1:3" x14ac:dyDescent="0.35">
      <c r="A93" s="9">
        <v>0.5</v>
      </c>
      <c r="B93" s="7">
        <v>1.6</v>
      </c>
      <c r="C93" s="7">
        <v>5</v>
      </c>
    </row>
    <row r="94" spans="1:3" x14ac:dyDescent="0.35">
      <c r="A94" s="9">
        <v>0.50049999999999994</v>
      </c>
      <c r="B94" s="7">
        <v>0</v>
      </c>
      <c r="C94" s="7">
        <v>1</v>
      </c>
    </row>
    <row r="95" spans="1:3" x14ac:dyDescent="0.35">
      <c r="A95" s="9">
        <v>0.50166666666666671</v>
      </c>
      <c r="B95" s="7">
        <v>0</v>
      </c>
      <c r="C95" s="7">
        <v>1</v>
      </c>
    </row>
    <row r="96" spans="1:3" x14ac:dyDescent="0.35">
      <c r="A96" s="9">
        <v>0.51461988304093564</v>
      </c>
      <c r="B96" s="7">
        <v>2</v>
      </c>
      <c r="C96" s="7">
        <v>1</v>
      </c>
    </row>
    <row r="97" spans="1:3" x14ac:dyDescent="0.35">
      <c r="A97" s="9">
        <v>0.51570680628272247</v>
      </c>
      <c r="B97" s="7">
        <v>9</v>
      </c>
      <c r="C97" s="7">
        <v>1</v>
      </c>
    </row>
    <row r="98" spans="1:3" x14ac:dyDescent="0.35">
      <c r="A98" s="9">
        <v>0.5220588235294118</v>
      </c>
      <c r="B98" s="7">
        <v>15</v>
      </c>
      <c r="C98" s="7">
        <v>1</v>
      </c>
    </row>
    <row r="99" spans="1:3" x14ac:dyDescent="0.35">
      <c r="A99" s="9">
        <v>0.52500000000000002</v>
      </c>
      <c r="B99" s="7">
        <v>7.5</v>
      </c>
      <c r="C99" s="7">
        <v>2</v>
      </c>
    </row>
    <row r="100" spans="1:3" x14ac:dyDescent="0.35">
      <c r="A100" s="9">
        <v>0.53549695740365111</v>
      </c>
      <c r="B100" s="7">
        <v>10</v>
      </c>
      <c r="C100" s="7">
        <v>1</v>
      </c>
    </row>
    <row r="101" spans="1:3" x14ac:dyDescent="0.35">
      <c r="A101" s="9">
        <v>0.54488888888888887</v>
      </c>
      <c r="B101" s="7">
        <v>7</v>
      </c>
      <c r="C101" s="7">
        <v>1</v>
      </c>
    </row>
    <row r="102" spans="1:3" x14ac:dyDescent="0.35">
      <c r="A102" s="9">
        <v>0.54500000000000004</v>
      </c>
      <c r="B102" s="7">
        <v>5</v>
      </c>
      <c r="C102" s="7">
        <v>1</v>
      </c>
    </row>
    <row r="103" spans="1:3" x14ac:dyDescent="0.35">
      <c r="A103" s="9">
        <v>0.55000000000000004</v>
      </c>
      <c r="B103" s="7">
        <v>13</v>
      </c>
      <c r="C103" s="7">
        <v>1</v>
      </c>
    </row>
    <row r="104" spans="1:3" x14ac:dyDescent="0.35">
      <c r="A104" s="9">
        <v>0.60515873015873012</v>
      </c>
      <c r="B104" s="7">
        <v>0</v>
      </c>
      <c r="C104" s="7">
        <v>1</v>
      </c>
    </row>
    <row r="105" spans="1:3" x14ac:dyDescent="0.35">
      <c r="A105" s="9">
        <v>0.64014466546112114</v>
      </c>
      <c r="B105" s="7">
        <v>0</v>
      </c>
      <c r="C105" s="7">
        <v>1</v>
      </c>
    </row>
    <row r="106" spans="1:3" x14ac:dyDescent="0.35">
      <c r="A106" s="9" t="s">
        <v>343</v>
      </c>
      <c r="B106" s="7"/>
      <c r="C106" s="7"/>
    </row>
    <row r="107" spans="1:3" x14ac:dyDescent="0.35">
      <c r="A107" s="9" t="s">
        <v>338</v>
      </c>
      <c r="B107" s="7">
        <v>6.6330275229357802</v>
      </c>
      <c r="C107" s="7">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4"/>
  <sheetViews>
    <sheetView workbookViewId="0">
      <selection activeCell="C10" sqref="C10"/>
    </sheetView>
  </sheetViews>
  <sheetFormatPr defaultRowHeight="14.5" x14ac:dyDescent="0.35"/>
  <cols>
    <col min="1" max="1" width="89.1796875" bestFit="1" customWidth="1"/>
    <col min="2" max="2" width="18.26953125" bestFit="1" customWidth="1"/>
  </cols>
  <sheetData>
    <row r="3" spans="1:2" x14ac:dyDescent="0.35">
      <c r="A3" s="8" t="s">
        <v>334</v>
      </c>
      <c r="B3" t="s">
        <v>345</v>
      </c>
    </row>
    <row r="4" spans="1:2" x14ac:dyDescent="0.35">
      <c r="A4" s="9" t="s">
        <v>212</v>
      </c>
      <c r="B4" s="7">
        <v>3750</v>
      </c>
    </row>
    <row r="5" spans="1:2" x14ac:dyDescent="0.35">
      <c r="A5" s="9" t="s">
        <v>295</v>
      </c>
      <c r="B5" s="7">
        <v>3640</v>
      </c>
    </row>
    <row r="6" spans="1:2" x14ac:dyDescent="0.35">
      <c r="A6" s="9" t="s">
        <v>287</v>
      </c>
      <c r="B6" s="7">
        <v>3546</v>
      </c>
    </row>
    <row r="7" spans="1:2" x14ac:dyDescent="0.35">
      <c r="A7" s="9" t="s">
        <v>26</v>
      </c>
      <c r="B7" s="7">
        <v>2999</v>
      </c>
    </row>
    <row r="8" spans="1:2" x14ac:dyDescent="0.35">
      <c r="A8" s="9" t="s">
        <v>66</v>
      </c>
      <c r="B8" s="7">
        <v>2999</v>
      </c>
    </row>
    <row r="9" spans="1:2" x14ac:dyDescent="0.35">
      <c r="A9" s="9" t="s">
        <v>92</v>
      </c>
      <c r="B9" s="7">
        <v>2880</v>
      </c>
    </row>
    <row r="10" spans="1:2" x14ac:dyDescent="0.35">
      <c r="A10" s="9" t="s">
        <v>177</v>
      </c>
      <c r="B10" s="7">
        <v>2799</v>
      </c>
    </row>
    <row r="11" spans="1:2" x14ac:dyDescent="0.35">
      <c r="A11" s="9" t="s">
        <v>128</v>
      </c>
      <c r="B11" s="7">
        <v>2750</v>
      </c>
    </row>
    <row r="12" spans="1:2" x14ac:dyDescent="0.35">
      <c r="A12" s="9" t="s">
        <v>30</v>
      </c>
      <c r="B12" s="7">
        <v>2319</v>
      </c>
    </row>
    <row r="13" spans="1:2" x14ac:dyDescent="0.35">
      <c r="A13" s="9" t="s">
        <v>218</v>
      </c>
      <c r="B13" s="7">
        <v>2300</v>
      </c>
    </row>
    <row r="14" spans="1:2" x14ac:dyDescent="0.35">
      <c r="A14" s="9" t="s">
        <v>99</v>
      </c>
      <c r="B14" s="7">
        <v>2200</v>
      </c>
    </row>
    <row r="15" spans="1:2" x14ac:dyDescent="0.35">
      <c r="A15" s="9" t="s">
        <v>14</v>
      </c>
      <c r="B15" s="7">
        <v>2199</v>
      </c>
    </row>
    <row r="16" spans="1:2" x14ac:dyDescent="0.35">
      <c r="A16" s="9" t="s">
        <v>182</v>
      </c>
      <c r="B16" s="7">
        <v>2170</v>
      </c>
    </row>
    <row r="17" spans="1:2" x14ac:dyDescent="0.35">
      <c r="A17" s="9" t="s">
        <v>140</v>
      </c>
      <c r="B17" s="7">
        <v>2132</v>
      </c>
    </row>
    <row r="18" spans="1:2" x14ac:dyDescent="0.35">
      <c r="A18" s="9" t="s">
        <v>190</v>
      </c>
      <c r="B18" s="7">
        <v>2115</v>
      </c>
    </row>
    <row r="19" spans="1:2" x14ac:dyDescent="0.35">
      <c r="A19" s="9" t="s">
        <v>85</v>
      </c>
      <c r="B19" s="7">
        <v>2048</v>
      </c>
    </row>
    <row r="20" spans="1:2" x14ac:dyDescent="0.35">
      <c r="A20" s="9" t="s">
        <v>63</v>
      </c>
      <c r="B20" s="7">
        <v>2025</v>
      </c>
    </row>
    <row r="21" spans="1:2" x14ac:dyDescent="0.35">
      <c r="A21" s="9" t="s">
        <v>114</v>
      </c>
      <c r="B21" s="7">
        <v>1980</v>
      </c>
    </row>
    <row r="22" spans="1:2" x14ac:dyDescent="0.35">
      <c r="A22" s="9" t="s">
        <v>111</v>
      </c>
      <c r="B22" s="7">
        <v>1940</v>
      </c>
    </row>
    <row r="23" spans="1:2" x14ac:dyDescent="0.35">
      <c r="A23" s="9" t="s">
        <v>301</v>
      </c>
      <c r="B23" s="7">
        <v>1875</v>
      </c>
    </row>
    <row r="24" spans="1:2" x14ac:dyDescent="0.35">
      <c r="A24" s="9" t="s">
        <v>75</v>
      </c>
      <c r="B24" s="7">
        <v>1860</v>
      </c>
    </row>
    <row r="25" spans="1:2" x14ac:dyDescent="0.35">
      <c r="A25" s="9" t="s">
        <v>108</v>
      </c>
      <c r="B25" s="7">
        <v>1820</v>
      </c>
    </row>
    <row r="26" spans="1:2" x14ac:dyDescent="0.35">
      <c r="A26" s="9" t="s">
        <v>125</v>
      </c>
      <c r="B26" s="7">
        <v>1800</v>
      </c>
    </row>
    <row r="27" spans="1:2" x14ac:dyDescent="0.35">
      <c r="A27" s="9" t="s">
        <v>314</v>
      </c>
      <c r="B27" s="7">
        <v>1768</v>
      </c>
    </row>
    <row r="28" spans="1:2" x14ac:dyDescent="0.35">
      <c r="A28" s="9" t="s">
        <v>97</v>
      </c>
      <c r="B28" s="7">
        <v>1758</v>
      </c>
    </row>
    <row r="29" spans="1:2" x14ac:dyDescent="0.35">
      <c r="A29" s="9" t="s">
        <v>22</v>
      </c>
      <c r="B29" s="7">
        <v>1740</v>
      </c>
    </row>
    <row r="30" spans="1:2" x14ac:dyDescent="0.35">
      <c r="A30" s="9" t="s">
        <v>237</v>
      </c>
      <c r="B30" s="7">
        <v>1732</v>
      </c>
    </row>
    <row r="31" spans="1:2" x14ac:dyDescent="0.35">
      <c r="A31" s="9" t="s">
        <v>53</v>
      </c>
      <c r="B31" s="7">
        <v>1680</v>
      </c>
    </row>
    <row r="32" spans="1:2" x14ac:dyDescent="0.35">
      <c r="A32" s="9" t="s">
        <v>251</v>
      </c>
      <c r="B32" s="7">
        <v>1666</v>
      </c>
    </row>
    <row r="33" spans="1:2" x14ac:dyDescent="0.35">
      <c r="A33" s="9" t="s">
        <v>160</v>
      </c>
      <c r="B33" s="7">
        <v>1660</v>
      </c>
    </row>
    <row r="34" spans="1:2" x14ac:dyDescent="0.35">
      <c r="A34" s="9" t="s">
        <v>312</v>
      </c>
      <c r="B34" s="7">
        <v>1658</v>
      </c>
    </row>
    <row r="35" spans="1:2" x14ac:dyDescent="0.35">
      <c r="A35" s="9" t="s">
        <v>81</v>
      </c>
      <c r="B35" s="7">
        <v>1650</v>
      </c>
    </row>
    <row r="36" spans="1:2" x14ac:dyDescent="0.35">
      <c r="A36" s="9" t="s">
        <v>117</v>
      </c>
      <c r="B36" s="7">
        <v>1620</v>
      </c>
    </row>
    <row r="37" spans="1:2" x14ac:dyDescent="0.35">
      <c r="A37" s="9" t="s">
        <v>38</v>
      </c>
      <c r="B37" s="7">
        <v>1600</v>
      </c>
    </row>
    <row r="38" spans="1:2" x14ac:dyDescent="0.35">
      <c r="A38" s="9" t="s">
        <v>18</v>
      </c>
      <c r="B38" s="7">
        <v>1580</v>
      </c>
    </row>
    <row r="39" spans="1:2" x14ac:dyDescent="0.35">
      <c r="A39" s="9" t="s">
        <v>229</v>
      </c>
      <c r="B39" s="7">
        <v>1570</v>
      </c>
    </row>
    <row r="40" spans="1:2" x14ac:dyDescent="0.35">
      <c r="A40" s="9" t="s">
        <v>280</v>
      </c>
      <c r="B40" s="7">
        <v>1526</v>
      </c>
    </row>
    <row r="41" spans="1:2" x14ac:dyDescent="0.35">
      <c r="A41" s="9" t="s">
        <v>264</v>
      </c>
      <c r="B41" s="7">
        <v>1468</v>
      </c>
    </row>
    <row r="42" spans="1:2" x14ac:dyDescent="0.35">
      <c r="A42" s="9" t="s">
        <v>256</v>
      </c>
      <c r="B42" s="7">
        <v>1466</v>
      </c>
    </row>
    <row r="43" spans="1:2" x14ac:dyDescent="0.35">
      <c r="A43" s="9" t="s">
        <v>282</v>
      </c>
      <c r="B43" s="7">
        <v>1462</v>
      </c>
    </row>
    <row r="44" spans="1:2" x14ac:dyDescent="0.35">
      <c r="A44" s="9" t="s">
        <v>248</v>
      </c>
      <c r="B44" s="7">
        <v>1460</v>
      </c>
    </row>
    <row r="45" spans="1:2" x14ac:dyDescent="0.35">
      <c r="A45" s="9" t="s">
        <v>165</v>
      </c>
      <c r="B45" s="7">
        <v>1459</v>
      </c>
    </row>
    <row r="46" spans="1:2" x14ac:dyDescent="0.35">
      <c r="A46" s="9" t="s">
        <v>298</v>
      </c>
      <c r="B46" s="7">
        <v>1420</v>
      </c>
    </row>
    <row r="47" spans="1:2" x14ac:dyDescent="0.35">
      <c r="A47" s="9" t="s">
        <v>95</v>
      </c>
      <c r="B47" s="7">
        <v>1350</v>
      </c>
    </row>
    <row r="48" spans="1:2" x14ac:dyDescent="0.35">
      <c r="A48" s="9" t="s">
        <v>272</v>
      </c>
      <c r="B48" s="7">
        <v>1300</v>
      </c>
    </row>
    <row r="49" spans="1:2" x14ac:dyDescent="0.35">
      <c r="A49" s="9" t="s">
        <v>35</v>
      </c>
      <c r="B49" s="7">
        <v>1274</v>
      </c>
    </row>
    <row r="50" spans="1:2" x14ac:dyDescent="0.35">
      <c r="A50" s="9" t="s">
        <v>202</v>
      </c>
      <c r="B50" s="7">
        <v>1220</v>
      </c>
    </row>
    <row r="51" spans="1:2" x14ac:dyDescent="0.35">
      <c r="A51" s="9" t="s">
        <v>278</v>
      </c>
      <c r="B51" s="7">
        <v>1200</v>
      </c>
    </row>
    <row r="52" spans="1:2" x14ac:dyDescent="0.35">
      <c r="A52" s="9" t="s">
        <v>151</v>
      </c>
      <c r="B52" s="7">
        <v>1200</v>
      </c>
    </row>
    <row r="53" spans="1:2" x14ac:dyDescent="0.35">
      <c r="A53" s="9" t="s">
        <v>145</v>
      </c>
      <c r="B53" s="7">
        <v>1190</v>
      </c>
    </row>
    <row r="54" spans="1:2" x14ac:dyDescent="0.35">
      <c r="A54" s="9" t="s">
        <v>310</v>
      </c>
      <c r="B54" s="7">
        <v>1190</v>
      </c>
    </row>
    <row r="55" spans="1:2" x14ac:dyDescent="0.35">
      <c r="A55" s="9" t="s">
        <v>243</v>
      </c>
      <c r="B55" s="7">
        <v>1189</v>
      </c>
    </row>
    <row r="56" spans="1:2" x14ac:dyDescent="0.35">
      <c r="A56" s="9" t="s">
        <v>307</v>
      </c>
      <c r="B56" s="7">
        <v>1150</v>
      </c>
    </row>
    <row r="57" spans="1:2" x14ac:dyDescent="0.35">
      <c r="A57" s="9" t="s">
        <v>292</v>
      </c>
      <c r="B57" s="7">
        <v>1080</v>
      </c>
    </row>
    <row r="58" spans="1:2" x14ac:dyDescent="0.35">
      <c r="A58" s="9" t="s">
        <v>209</v>
      </c>
      <c r="B58" s="7">
        <v>1000</v>
      </c>
    </row>
    <row r="59" spans="1:2" x14ac:dyDescent="0.35">
      <c r="A59" s="9" t="s">
        <v>143</v>
      </c>
      <c r="B59" s="7">
        <v>999</v>
      </c>
    </row>
    <row r="60" spans="1:2" x14ac:dyDescent="0.35">
      <c r="A60" s="9" t="s">
        <v>68</v>
      </c>
      <c r="B60" s="7">
        <v>998</v>
      </c>
    </row>
    <row r="61" spans="1:2" x14ac:dyDescent="0.35">
      <c r="A61" s="9" t="s">
        <v>44</v>
      </c>
      <c r="B61" s="7">
        <v>990</v>
      </c>
    </row>
    <row r="62" spans="1:2" x14ac:dyDescent="0.35">
      <c r="A62" s="9" t="s">
        <v>206</v>
      </c>
      <c r="B62" s="7">
        <v>990</v>
      </c>
    </row>
    <row r="63" spans="1:2" x14ac:dyDescent="0.35">
      <c r="A63" s="9" t="s">
        <v>33</v>
      </c>
      <c r="B63" s="7">
        <v>988</v>
      </c>
    </row>
    <row r="64" spans="1:2" x14ac:dyDescent="0.35">
      <c r="A64" s="9" t="s">
        <v>105</v>
      </c>
      <c r="B64" s="7">
        <v>980</v>
      </c>
    </row>
    <row r="65" spans="1:2" x14ac:dyDescent="0.35">
      <c r="A65" s="9" t="s">
        <v>245</v>
      </c>
      <c r="B65" s="7">
        <v>979</v>
      </c>
    </row>
    <row r="66" spans="1:2" x14ac:dyDescent="0.35">
      <c r="A66" s="9" t="s">
        <v>227</v>
      </c>
      <c r="B66" s="7">
        <v>968</v>
      </c>
    </row>
    <row r="67" spans="1:2" x14ac:dyDescent="0.35">
      <c r="A67" s="9" t="s">
        <v>6</v>
      </c>
      <c r="B67" s="7">
        <v>950</v>
      </c>
    </row>
    <row r="68" spans="1:2" x14ac:dyDescent="0.35">
      <c r="A68" s="9" t="s">
        <v>277</v>
      </c>
      <c r="B68" s="7">
        <v>899</v>
      </c>
    </row>
    <row r="69" spans="1:2" x14ac:dyDescent="0.35">
      <c r="A69" s="9" t="s">
        <v>78</v>
      </c>
      <c r="B69" s="7">
        <v>880</v>
      </c>
    </row>
    <row r="70" spans="1:2" x14ac:dyDescent="0.35">
      <c r="A70" s="9" t="s">
        <v>269</v>
      </c>
      <c r="B70" s="7">
        <v>850</v>
      </c>
    </row>
    <row r="71" spans="1:2" x14ac:dyDescent="0.35">
      <c r="A71" s="9" t="s">
        <v>175</v>
      </c>
      <c r="B71" s="7">
        <v>799</v>
      </c>
    </row>
    <row r="72" spans="1:2" x14ac:dyDescent="0.35">
      <c r="A72" s="9" t="s">
        <v>261</v>
      </c>
      <c r="B72" s="7">
        <v>799</v>
      </c>
    </row>
    <row r="73" spans="1:2" x14ac:dyDescent="0.35">
      <c r="A73" s="9" t="s">
        <v>42</v>
      </c>
      <c r="B73" s="7">
        <v>799</v>
      </c>
    </row>
    <row r="74" spans="1:2" x14ac:dyDescent="0.35">
      <c r="A74" s="9" t="s">
        <v>168</v>
      </c>
      <c r="B74" s="7">
        <v>799</v>
      </c>
    </row>
    <row r="75" spans="1:2" x14ac:dyDescent="0.35">
      <c r="A75" s="9" t="s">
        <v>232</v>
      </c>
      <c r="B75" s="7">
        <v>790</v>
      </c>
    </row>
    <row r="76" spans="1:2" x14ac:dyDescent="0.35">
      <c r="A76" s="9" t="s">
        <v>173</v>
      </c>
      <c r="B76" s="7">
        <v>699</v>
      </c>
    </row>
    <row r="77" spans="1:2" x14ac:dyDescent="0.35">
      <c r="A77" s="9" t="s">
        <v>235</v>
      </c>
      <c r="B77" s="7">
        <v>690</v>
      </c>
    </row>
    <row r="78" spans="1:2" x14ac:dyDescent="0.35">
      <c r="A78" s="9" t="s">
        <v>148</v>
      </c>
      <c r="B78" s="7">
        <v>671</v>
      </c>
    </row>
    <row r="79" spans="1:2" x14ac:dyDescent="0.35">
      <c r="A79" s="9" t="s">
        <v>266</v>
      </c>
      <c r="B79" s="7">
        <v>630</v>
      </c>
    </row>
    <row r="80" spans="1:2" x14ac:dyDescent="0.35">
      <c r="A80" s="9" t="s">
        <v>137</v>
      </c>
      <c r="B80" s="7">
        <v>610</v>
      </c>
    </row>
    <row r="81" spans="1:2" x14ac:dyDescent="0.35">
      <c r="A81" s="9" t="s">
        <v>47</v>
      </c>
      <c r="B81" s="7">
        <v>552</v>
      </c>
    </row>
    <row r="82" spans="1:2" x14ac:dyDescent="0.35">
      <c r="A82" s="9" t="s">
        <v>10</v>
      </c>
      <c r="B82" s="7">
        <v>527</v>
      </c>
    </row>
    <row r="83" spans="1:2" x14ac:dyDescent="0.35">
      <c r="A83" s="9" t="s">
        <v>289</v>
      </c>
      <c r="B83" s="7">
        <v>525</v>
      </c>
    </row>
    <row r="84" spans="1:2" x14ac:dyDescent="0.35">
      <c r="A84" s="9" t="s">
        <v>224</v>
      </c>
      <c r="B84" s="7">
        <v>509</v>
      </c>
    </row>
    <row r="85" spans="1:2" x14ac:dyDescent="0.35">
      <c r="A85" s="9" t="s">
        <v>50</v>
      </c>
      <c r="B85" s="7">
        <v>501</v>
      </c>
    </row>
    <row r="86" spans="1:2" x14ac:dyDescent="0.35">
      <c r="A86" s="9" t="s">
        <v>170</v>
      </c>
      <c r="B86" s="7">
        <v>499</v>
      </c>
    </row>
    <row r="87" spans="1:2" x14ac:dyDescent="0.35">
      <c r="A87" s="9" t="s">
        <v>131</v>
      </c>
      <c r="B87" s="7">
        <v>475</v>
      </c>
    </row>
    <row r="88" spans="1:2" x14ac:dyDescent="0.35">
      <c r="A88" s="9" t="s">
        <v>186</v>
      </c>
      <c r="B88" s="7">
        <v>458</v>
      </c>
    </row>
    <row r="89" spans="1:2" x14ac:dyDescent="0.35">
      <c r="A89" s="9" t="s">
        <v>318</v>
      </c>
      <c r="B89" s="7">
        <v>450</v>
      </c>
    </row>
    <row r="90" spans="1:2" x14ac:dyDescent="0.35">
      <c r="A90" s="9" t="s">
        <v>194</v>
      </c>
      <c r="B90" s="7">
        <v>445</v>
      </c>
    </row>
    <row r="91" spans="1:2" x14ac:dyDescent="0.35">
      <c r="A91" s="9" t="s">
        <v>89</v>
      </c>
      <c r="B91" s="7">
        <v>420</v>
      </c>
    </row>
    <row r="92" spans="1:2" x14ac:dyDescent="0.35">
      <c r="A92" s="9" t="s">
        <v>122</v>
      </c>
      <c r="B92" s="7">
        <v>389</v>
      </c>
    </row>
    <row r="93" spans="1:2" x14ac:dyDescent="0.35">
      <c r="A93" s="9" t="s">
        <v>215</v>
      </c>
      <c r="B93" s="7">
        <v>382</v>
      </c>
    </row>
    <row r="94" spans="1:2" x14ac:dyDescent="0.35">
      <c r="A94" s="9" t="s">
        <v>221</v>
      </c>
      <c r="B94" s="7">
        <v>345</v>
      </c>
    </row>
    <row r="95" spans="1:2" x14ac:dyDescent="0.35">
      <c r="A95" s="9" t="s">
        <v>56</v>
      </c>
      <c r="B95" s="7">
        <v>332</v>
      </c>
    </row>
    <row r="96" spans="1:2" x14ac:dyDescent="0.35">
      <c r="A96" s="9" t="s">
        <v>253</v>
      </c>
      <c r="B96" s="7">
        <v>330</v>
      </c>
    </row>
    <row r="97" spans="1:2" x14ac:dyDescent="0.35">
      <c r="A97" s="9" t="s">
        <v>198</v>
      </c>
      <c r="B97" s="7">
        <v>325</v>
      </c>
    </row>
    <row r="98" spans="1:2" x14ac:dyDescent="0.35">
      <c r="A98" s="9" t="s">
        <v>157</v>
      </c>
      <c r="B98" s="7">
        <v>299</v>
      </c>
    </row>
    <row r="99" spans="1:2" x14ac:dyDescent="0.35">
      <c r="A99" s="9" t="s">
        <v>163</v>
      </c>
      <c r="B99" s="7">
        <v>299</v>
      </c>
    </row>
    <row r="100" spans="1:2" x14ac:dyDescent="0.35">
      <c r="A100" s="9" t="s">
        <v>258</v>
      </c>
      <c r="B100" s="7">
        <v>274</v>
      </c>
    </row>
    <row r="101" spans="1:2" x14ac:dyDescent="0.35">
      <c r="A101" s="9" t="s">
        <v>284</v>
      </c>
      <c r="B101" s="7">
        <v>248</v>
      </c>
    </row>
    <row r="102" spans="1:2" x14ac:dyDescent="0.35">
      <c r="A102" s="9" t="s">
        <v>134</v>
      </c>
      <c r="B102" s="7">
        <v>238</v>
      </c>
    </row>
    <row r="103" spans="1:2" x14ac:dyDescent="0.35">
      <c r="A103" s="9" t="s">
        <v>240</v>
      </c>
      <c r="B103" s="7">
        <v>230</v>
      </c>
    </row>
    <row r="104" spans="1:2" x14ac:dyDescent="0.35">
      <c r="A104" s="9" t="s">
        <v>316</v>
      </c>
      <c r="B104" s="7">
        <v>199</v>
      </c>
    </row>
    <row r="105" spans="1:2" x14ac:dyDescent="0.35">
      <c r="A105" s="9" t="s">
        <v>154</v>
      </c>
      <c r="B105" s="7">
        <v>199</v>
      </c>
    </row>
    <row r="106" spans="1:2" x14ac:dyDescent="0.35">
      <c r="A106" s="9" t="s">
        <v>304</v>
      </c>
      <c r="B106" s="7">
        <v>198</v>
      </c>
    </row>
    <row r="107" spans="1:2" x14ac:dyDescent="0.35">
      <c r="A107" s="9" t="s">
        <v>60</v>
      </c>
      <c r="B107" s="7">
        <v>195</v>
      </c>
    </row>
    <row r="108" spans="1:2" x14ac:dyDescent="0.35">
      <c r="A108" s="9" t="s">
        <v>102</v>
      </c>
      <c r="B108" s="7">
        <v>185</v>
      </c>
    </row>
    <row r="109" spans="1:2" x14ac:dyDescent="0.35">
      <c r="A109" s="9" t="s">
        <v>120</v>
      </c>
      <c r="B109" s="7">
        <v>171</v>
      </c>
    </row>
    <row r="110" spans="1:2" x14ac:dyDescent="0.35">
      <c r="A110" s="9" t="s">
        <v>320</v>
      </c>
      <c r="B110" s="7">
        <v>169</v>
      </c>
    </row>
    <row r="111" spans="1:2" x14ac:dyDescent="0.35">
      <c r="A111" s="9" t="s">
        <v>274</v>
      </c>
      <c r="B111" s="7">
        <v>105</v>
      </c>
    </row>
    <row r="112" spans="1:2" x14ac:dyDescent="0.35">
      <c r="A112" s="9" t="s">
        <v>71</v>
      </c>
      <c r="B112" s="7">
        <v>38</v>
      </c>
    </row>
    <row r="113" spans="1:2" x14ac:dyDescent="0.35">
      <c r="A113" s="9" t="s">
        <v>343</v>
      </c>
      <c r="B113" s="7"/>
    </row>
    <row r="114" spans="1:2" x14ac:dyDescent="0.35">
      <c r="A114" s="9" t="s">
        <v>338</v>
      </c>
      <c r="B114" s="7">
        <v>131700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H19" sqref="H19"/>
    </sheetView>
  </sheetViews>
  <sheetFormatPr defaultRowHeight="14.5" x14ac:dyDescent="0.35"/>
  <cols>
    <col min="1" max="1" width="36.08984375" style="4" bestFit="1" customWidth="1"/>
    <col min="2" max="2" width="24.81640625" style="12" bestFit="1" customWidth="1"/>
  </cols>
  <sheetData>
    <row r="3" spans="1:2" x14ac:dyDescent="0.35">
      <c r="A3" s="10" t="s">
        <v>334</v>
      </c>
      <c r="B3" s="12" t="s">
        <v>344</v>
      </c>
    </row>
    <row r="4" spans="1:2" x14ac:dyDescent="0.35">
      <c r="A4" s="13" t="s">
        <v>346</v>
      </c>
      <c r="B4" s="12">
        <v>1.1538461538461537</v>
      </c>
    </row>
    <row r="5" spans="1:2" x14ac:dyDescent="0.35">
      <c r="A5" s="11" t="s">
        <v>347</v>
      </c>
      <c r="B5" s="12">
        <v>5.1428571428571432</v>
      </c>
    </row>
    <row r="6" spans="1:2" x14ac:dyDescent="0.35">
      <c r="A6" s="11" t="s">
        <v>348</v>
      </c>
      <c r="B6" s="12">
        <v>15.916666666666666</v>
      </c>
    </row>
    <row r="7" spans="1:2" x14ac:dyDescent="0.35">
      <c r="A7" s="11" t="s">
        <v>349</v>
      </c>
      <c r="B7" s="12">
        <v>9.15</v>
      </c>
    </row>
    <row r="8" spans="1:2" x14ac:dyDescent="0.35">
      <c r="A8" s="11" t="s">
        <v>350</v>
      </c>
      <c r="B8" s="12">
        <v>4.8260869565217392</v>
      </c>
    </row>
    <row r="9" spans="1:2" x14ac:dyDescent="0.35">
      <c r="A9" s="11" t="s">
        <v>351</v>
      </c>
      <c r="B9" s="12">
        <v>7.6</v>
      </c>
    </row>
    <row r="10" spans="1:2" x14ac:dyDescent="0.35">
      <c r="A10" s="11" t="s">
        <v>352</v>
      </c>
      <c r="B10" s="12">
        <v>0</v>
      </c>
    </row>
    <row r="11" spans="1:2" x14ac:dyDescent="0.35">
      <c r="A11" s="11" t="s">
        <v>338</v>
      </c>
      <c r="B11" s="12">
        <v>6.6330275229357802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A3" workbookViewId="0">
      <selection activeCell="B20" sqref="B20"/>
    </sheetView>
  </sheetViews>
  <sheetFormatPr defaultRowHeight="14.5" x14ac:dyDescent="0.35"/>
  <cols>
    <col min="1" max="1" width="69.54296875" customWidth="1"/>
    <col min="2" max="2" width="23" bestFit="1" customWidth="1"/>
  </cols>
  <sheetData>
    <row r="3" spans="1:2" x14ac:dyDescent="0.35">
      <c r="A3" s="8" t="s">
        <v>334</v>
      </c>
      <c r="B3" t="s">
        <v>353</v>
      </c>
    </row>
    <row r="4" spans="1:2" x14ac:dyDescent="0.35">
      <c r="A4" s="9" t="s">
        <v>71</v>
      </c>
      <c r="B4" s="7">
        <v>0.52500000000000002</v>
      </c>
    </row>
    <row r="5" spans="1:2" x14ac:dyDescent="0.35">
      <c r="A5" s="9" t="s">
        <v>190</v>
      </c>
      <c r="B5" s="7">
        <v>0.55000000000000004</v>
      </c>
    </row>
    <row r="6" spans="1:2" x14ac:dyDescent="0.35">
      <c r="A6" s="9" t="s">
        <v>316</v>
      </c>
      <c r="B6" s="7">
        <v>0.64014466546112114</v>
      </c>
    </row>
    <row r="7" spans="1:2" x14ac:dyDescent="0.35">
      <c r="A7" s="9" t="s">
        <v>120</v>
      </c>
      <c r="B7" s="7">
        <v>0.52500000000000002</v>
      </c>
    </row>
    <row r="8" spans="1:2" x14ac:dyDescent="0.35">
      <c r="A8" s="9" t="s">
        <v>154</v>
      </c>
      <c r="B8" s="7">
        <v>0.60515873015873012</v>
      </c>
    </row>
    <row r="9" spans="1:2" x14ac:dyDescent="0.35">
      <c r="A9" s="9" t="s">
        <v>102</v>
      </c>
      <c r="B9" s="7">
        <v>0.51570680628272247</v>
      </c>
    </row>
    <row r="10" spans="1:2" x14ac:dyDescent="0.35">
      <c r="A10" s="9" t="s">
        <v>198</v>
      </c>
      <c r="B10" s="7">
        <v>0.5220588235294118</v>
      </c>
    </row>
    <row r="11" spans="1:2" x14ac:dyDescent="0.35">
      <c r="A11" s="9" t="s">
        <v>85</v>
      </c>
      <c r="B11" s="7">
        <v>0.54488888888888887</v>
      </c>
    </row>
    <row r="12" spans="1:2" x14ac:dyDescent="0.35">
      <c r="A12" s="9" t="s">
        <v>35</v>
      </c>
      <c r="B12" s="7">
        <v>0.54500000000000004</v>
      </c>
    </row>
    <row r="13" spans="1:2" x14ac:dyDescent="0.35">
      <c r="A13" s="9" t="s">
        <v>186</v>
      </c>
      <c r="B13" s="7">
        <v>0.53549695740365111</v>
      </c>
    </row>
    <row r="14" spans="1:2" x14ac:dyDescent="0.35">
      <c r="A14" s="9" t="s">
        <v>338</v>
      </c>
      <c r="B14" s="7">
        <v>0.64014466546112114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L14" sqref="L14"/>
    </sheetView>
  </sheetViews>
  <sheetFormatPr defaultRowHeight="14.5" x14ac:dyDescent="0.35"/>
  <cols>
    <col min="1" max="1" width="61.453125" customWidth="1"/>
    <col min="2" max="2" width="21.7265625" customWidth="1"/>
  </cols>
  <sheetData>
    <row r="3" spans="1:2" x14ac:dyDescent="0.35">
      <c r="A3" s="8" t="s">
        <v>334</v>
      </c>
      <c r="B3" t="s">
        <v>354</v>
      </c>
    </row>
    <row r="4" spans="1:2" x14ac:dyDescent="0.35">
      <c r="A4" s="9" t="s">
        <v>44</v>
      </c>
      <c r="B4" s="7">
        <v>39</v>
      </c>
    </row>
    <row r="5" spans="1:2" x14ac:dyDescent="0.35">
      <c r="A5" s="9" t="s">
        <v>194</v>
      </c>
      <c r="B5" s="7">
        <v>69</v>
      </c>
    </row>
    <row r="6" spans="1:2" x14ac:dyDescent="0.35">
      <c r="A6" s="9" t="s">
        <v>30</v>
      </c>
      <c r="B6" s="7">
        <v>55</v>
      </c>
    </row>
    <row r="7" spans="1:2" x14ac:dyDescent="0.35">
      <c r="A7" s="9" t="s">
        <v>68</v>
      </c>
      <c r="B7" s="7">
        <v>44</v>
      </c>
    </row>
    <row r="8" spans="1:2" x14ac:dyDescent="0.35">
      <c r="A8" s="9" t="s">
        <v>97</v>
      </c>
      <c r="B8" s="7">
        <v>20</v>
      </c>
    </row>
    <row r="9" spans="1:2" x14ac:dyDescent="0.35">
      <c r="A9" s="9" t="s">
        <v>114</v>
      </c>
      <c r="B9" s="7">
        <v>32</v>
      </c>
    </row>
    <row r="10" spans="1:2" x14ac:dyDescent="0.35">
      <c r="A10" s="9" t="s">
        <v>111</v>
      </c>
      <c r="B10" s="7">
        <v>20</v>
      </c>
    </row>
    <row r="11" spans="1:2" x14ac:dyDescent="0.35">
      <c r="A11" s="9" t="s">
        <v>89</v>
      </c>
      <c r="B11" s="7">
        <v>49</v>
      </c>
    </row>
    <row r="12" spans="1:2" x14ac:dyDescent="0.35">
      <c r="A12" s="9" t="s">
        <v>14</v>
      </c>
      <c r="B12" s="7">
        <v>24</v>
      </c>
    </row>
    <row r="13" spans="1:2" x14ac:dyDescent="0.35">
      <c r="A13" s="9" t="s">
        <v>122</v>
      </c>
      <c r="B13" s="7">
        <v>36</v>
      </c>
    </row>
    <row r="14" spans="1:2" x14ac:dyDescent="0.35">
      <c r="A14" s="9" t="s">
        <v>338</v>
      </c>
      <c r="B14" s="7">
        <v>388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20" sqref="D20"/>
    </sheetView>
  </sheetViews>
  <sheetFormatPr defaultRowHeight="14.5" x14ac:dyDescent="0.35"/>
  <cols>
    <col min="1" max="1" width="64.453125" customWidth="1"/>
    <col min="2" max="2" width="15.54296875" bestFit="1" customWidth="1"/>
  </cols>
  <sheetData>
    <row r="3" spans="1:2" x14ac:dyDescent="0.35">
      <c r="A3" s="8" t="s">
        <v>334</v>
      </c>
      <c r="B3" t="s">
        <v>333</v>
      </c>
    </row>
    <row r="4" spans="1:2" x14ac:dyDescent="0.35">
      <c r="A4" s="9" t="s">
        <v>56</v>
      </c>
      <c r="B4" s="7">
        <v>5</v>
      </c>
    </row>
    <row r="5" spans="1:2" x14ac:dyDescent="0.35">
      <c r="A5" s="9" t="s">
        <v>245</v>
      </c>
      <c r="B5" s="7">
        <v>5</v>
      </c>
    </row>
    <row r="6" spans="1:2" x14ac:dyDescent="0.35">
      <c r="A6" s="9" t="s">
        <v>120</v>
      </c>
      <c r="B6" s="7">
        <v>5</v>
      </c>
    </row>
    <row r="7" spans="1:2" x14ac:dyDescent="0.35">
      <c r="A7" s="9" t="s">
        <v>117</v>
      </c>
      <c r="B7" s="7">
        <v>5</v>
      </c>
    </row>
    <row r="8" spans="1:2" x14ac:dyDescent="0.35">
      <c r="A8" s="9" t="s">
        <v>295</v>
      </c>
      <c r="B8" s="7">
        <v>5</v>
      </c>
    </row>
    <row r="9" spans="1:2" x14ac:dyDescent="0.35">
      <c r="A9" s="9" t="s">
        <v>63</v>
      </c>
      <c r="B9" s="7">
        <v>5</v>
      </c>
    </row>
    <row r="10" spans="1:2" x14ac:dyDescent="0.35">
      <c r="A10" s="9" t="s">
        <v>60</v>
      </c>
      <c r="B10" s="7">
        <v>5</v>
      </c>
    </row>
    <row r="11" spans="1:2" x14ac:dyDescent="0.35">
      <c r="A11" s="9" t="s">
        <v>338</v>
      </c>
      <c r="B11" s="7">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14" sqref="B14"/>
    </sheetView>
  </sheetViews>
  <sheetFormatPr defaultRowHeight="14.5" x14ac:dyDescent="0.35"/>
  <cols>
    <col min="1" max="1" width="67.08984375" customWidth="1"/>
    <col min="2" max="2" width="15.54296875" bestFit="1" customWidth="1"/>
  </cols>
  <sheetData>
    <row r="3" spans="1:2" x14ac:dyDescent="0.35">
      <c r="A3" s="8" t="s">
        <v>334</v>
      </c>
      <c r="B3" t="s">
        <v>333</v>
      </c>
    </row>
    <row r="4" spans="1:2" x14ac:dyDescent="0.35">
      <c r="A4" s="9" t="s">
        <v>190</v>
      </c>
      <c r="B4" s="7">
        <v>2.1</v>
      </c>
    </row>
    <row r="5" spans="1:2" x14ac:dyDescent="0.35">
      <c r="A5" s="9" t="s">
        <v>227</v>
      </c>
      <c r="B5" s="7">
        <v>2.2000000000000002</v>
      </c>
    </row>
    <row r="6" spans="1:2" x14ac:dyDescent="0.35">
      <c r="A6" s="9" t="s">
        <v>206</v>
      </c>
      <c r="B6" s="7">
        <v>2.2000000000000002</v>
      </c>
    </row>
    <row r="7" spans="1:2" x14ac:dyDescent="0.35">
      <c r="A7" s="9" t="s">
        <v>229</v>
      </c>
      <c r="B7" s="7">
        <v>2.1</v>
      </c>
    </row>
    <row r="8" spans="1:2" x14ac:dyDescent="0.35">
      <c r="A8" s="9" t="s">
        <v>318</v>
      </c>
      <c r="B8" s="7">
        <v>2</v>
      </c>
    </row>
    <row r="9" spans="1:2" x14ac:dyDescent="0.35">
      <c r="A9" s="9" t="s">
        <v>343</v>
      </c>
      <c r="B9" s="7"/>
    </row>
    <row r="10" spans="1:2" x14ac:dyDescent="0.35">
      <c r="A10" s="9" t="s">
        <v>338</v>
      </c>
      <c r="B10" s="7">
        <v>2.12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I19" sqref="I19"/>
    </sheetView>
  </sheetViews>
  <sheetFormatPr defaultRowHeight="14.5" x14ac:dyDescent="0.35"/>
  <cols>
    <col min="1" max="1" width="36.08984375" style="4" bestFit="1" customWidth="1"/>
    <col min="2" max="2" width="15.54296875" bestFit="1" customWidth="1"/>
    <col min="3" max="3" width="24.81640625" bestFit="1" customWidth="1"/>
  </cols>
  <sheetData>
    <row r="3" spans="1:3" x14ac:dyDescent="0.35">
      <c r="A3" s="10" t="s">
        <v>334</v>
      </c>
      <c r="B3" t="s">
        <v>333</v>
      </c>
      <c r="C3" t="s">
        <v>344</v>
      </c>
    </row>
    <row r="4" spans="1:3" x14ac:dyDescent="0.35">
      <c r="A4" s="11" t="s">
        <v>346</v>
      </c>
      <c r="B4" s="7">
        <v>4</v>
      </c>
      <c r="C4" s="7">
        <v>1.1538461538461537</v>
      </c>
    </row>
    <row r="5" spans="1:3" x14ac:dyDescent="0.35">
      <c r="A5" s="11" t="s">
        <v>347</v>
      </c>
      <c r="B5" s="7">
        <v>4</v>
      </c>
      <c r="C5" s="7">
        <v>5.1428571428571432</v>
      </c>
    </row>
    <row r="6" spans="1:3" x14ac:dyDescent="0.35">
      <c r="A6" s="11" t="s">
        <v>348</v>
      </c>
      <c r="B6" s="7">
        <v>4.177777777777778</v>
      </c>
      <c r="C6" s="7">
        <v>15.916666666666666</v>
      </c>
    </row>
    <row r="7" spans="1:3" x14ac:dyDescent="0.35">
      <c r="A7" s="11" t="s">
        <v>349</v>
      </c>
      <c r="B7" s="7">
        <v>4.3076923076923075</v>
      </c>
      <c r="C7" s="7">
        <v>9.15</v>
      </c>
    </row>
    <row r="8" spans="1:3" x14ac:dyDescent="0.35">
      <c r="A8" s="11" t="s">
        <v>350</v>
      </c>
      <c r="B8" s="7">
        <v>3.4799999999999995</v>
      </c>
      <c r="C8" s="7">
        <v>4.8260869565217392</v>
      </c>
    </row>
    <row r="9" spans="1:3" x14ac:dyDescent="0.35">
      <c r="A9" s="14" t="s">
        <v>351</v>
      </c>
      <c r="B9" s="7">
        <v>3.8333333333333335</v>
      </c>
      <c r="C9" s="7">
        <v>7.6</v>
      </c>
    </row>
    <row r="10" spans="1:3" x14ac:dyDescent="0.35">
      <c r="A10" s="11" t="s">
        <v>352</v>
      </c>
      <c r="B10" s="7" t="e">
        <v>#DIV/0!</v>
      </c>
      <c r="C10" s="7">
        <v>0</v>
      </c>
    </row>
    <row r="11" spans="1:3" x14ac:dyDescent="0.35">
      <c r="A11" s="11" t="s">
        <v>338</v>
      </c>
      <c r="B11" s="7">
        <v>3.8894736842105266</v>
      </c>
      <c r="C11" s="7">
        <v>6.6330275229357802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5.26953125" bestFit="1" customWidth="1"/>
  </cols>
  <sheetData>
    <row r="3" spans="1:1" x14ac:dyDescent="0.35">
      <c r="A3" t="s">
        <v>342</v>
      </c>
    </row>
    <row r="4" spans="1:1" x14ac:dyDescent="0.35">
      <c r="A4" s="7">
        <v>109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26.1796875" bestFit="1" customWidth="1"/>
  </cols>
  <sheetData>
    <row r="3" spans="1:1" x14ac:dyDescent="0.35">
      <c r="A3" t="s">
        <v>332</v>
      </c>
    </row>
    <row r="4" spans="1:1" x14ac:dyDescent="0.35">
      <c r="A4" s="7">
        <v>0.3631685196073503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5.54296875" bestFit="1" customWidth="1"/>
  </cols>
  <sheetData>
    <row r="3" spans="1:1" x14ac:dyDescent="0.35">
      <c r="A3" t="s">
        <v>333</v>
      </c>
    </row>
    <row r="4" spans="1:1" x14ac:dyDescent="0.35">
      <c r="A4" s="7">
        <v>3.8894736842105262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21.7265625" customWidth="1"/>
  </cols>
  <sheetData>
    <row r="3" spans="1:1" x14ac:dyDescent="0.35">
      <c r="A3" t="s">
        <v>354</v>
      </c>
    </row>
    <row r="4" spans="1:1" x14ac:dyDescent="0.35">
      <c r="A4" s="7">
        <v>723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17" sqref="A17"/>
    </sheetView>
  </sheetViews>
  <sheetFormatPr defaultRowHeight="14.5" x14ac:dyDescent="0.35"/>
  <cols>
    <col min="1" max="1" width="64.453125" customWidth="1"/>
    <col min="2" max="2" width="15.54296875" bestFit="1" customWidth="1"/>
  </cols>
  <sheetData>
    <row r="3" spans="1:2" x14ac:dyDescent="0.35">
      <c r="A3" s="8" t="s">
        <v>334</v>
      </c>
      <c r="B3" t="s">
        <v>333</v>
      </c>
    </row>
    <row r="4" spans="1:2" x14ac:dyDescent="0.35">
      <c r="A4" s="9" t="s">
        <v>47</v>
      </c>
      <c r="B4" s="7">
        <v>4.8</v>
      </c>
    </row>
    <row r="5" spans="1:2" x14ac:dyDescent="0.35">
      <c r="A5" s="9" t="s">
        <v>56</v>
      </c>
      <c r="B5" s="7">
        <v>5</v>
      </c>
    </row>
    <row r="6" spans="1:2" x14ac:dyDescent="0.35">
      <c r="A6" s="9" t="s">
        <v>245</v>
      </c>
      <c r="B6" s="7">
        <v>5</v>
      </c>
    </row>
    <row r="7" spans="1:2" x14ac:dyDescent="0.35">
      <c r="A7" s="9" t="s">
        <v>120</v>
      </c>
      <c r="B7" s="7">
        <v>5</v>
      </c>
    </row>
    <row r="8" spans="1:2" x14ac:dyDescent="0.35">
      <c r="A8" s="9" t="s">
        <v>117</v>
      </c>
      <c r="B8" s="7">
        <v>5</v>
      </c>
    </row>
    <row r="9" spans="1:2" x14ac:dyDescent="0.35">
      <c r="A9" s="9" t="s">
        <v>295</v>
      </c>
      <c r="B9" s="7">
        <v>5</v>
      </c>
    </row>
    <row r="10" spans="1:2" x14ac:dyDescent="0.35">
      <c r="A10" s="9" t="s">
        <v>63</v>
      </c>
      <c r="B10" s="7">
        <v>5</v>
      </c>
    </row>
    <row r="11" spans="1:2" x14ac:dyDescent="0.35">
      <c r="A11" s="9" t="s">
        <v>35</v>
      </c>
      <c r="B11" s="7">
        <v>4.8</v>
      </c>
    </row>
    <row r="12" spans="1:2" x14ac:dyDescent="0.35">
      <c r="A12" s="9" t="s">
        <v>60</v>
      </c>
      <c r="B12" s="7">
        <v>5</v>
      </c>
    </row>
    <row r="13" spans="1:2" x14ac:dyDescent="0.35">
      <c r="A13" s="9" t="s">
        <v>22</v>
      </c>
      <c r="B13" s="7">
        <v>4.8</v>
      </c>
    </row>
    <row r="14" spans="1:2" x14ac:dyDescent="0.35">
      <c r="A14" s="9" t="s">
        <v>338</v>
      </c>
      <c r="B14" s="7">
        <v>4.9399999999999995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D17" sqref="D17"/>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339</v>
      </c>
      <c r="B4" s="7">
        <v>22</v>
      </c>
    </row>
    <row r="5" spans="1:2" x14ac:dyDescent="0.35">
      <c r="A5" s="9" t="s">
        <v>340</v>
      </c>
      <c r="B5" s="7">
        <v>23</v>
      </c>
    </row>
    <row r="6" spans="1:2" x14ac:dyDescent="0.35">
      <c r="A6" s="9" t="s">
        <v>328</v>
      </c>
      <c r="B6" s="7">
        <v>52</v>
      </c>
    </row>
    <row r="7" spans="1:2" x14ac:dyDescent="0.35">
      <c r="A7" s="9" t="s">
        <v>341</v>
      </c>
      <c r="B7" s="7">
        <v>12</v>
      </c>
    </row>
    <row r="8" spans="1:2" x14ac:dyDescent="0.35">
      <c r="A8" s="9" t="s">
        <v>343</v>
      </c>
      <c r="B8" s="7"/>
    </row>
    <row r="9" spans="1:2" x14ac:dyDescent="0.35">
      <c r="A9" s="9" t="s">
        <v>338</v>
      </c>
      <c r="B9" s="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18" sqref="H18"/>
    </sheetView>
  </sheetViews>
  <sheetFormatPr defaultRowHeight="14.5" x14ac:dyDescent="0.35"/>
  <cols>
    <col min="1" max="1" width="12.36328125" bestFit="1" customWidth="1"/>
    <col min="2" max="2" width="15.26953125" bestFit="1" customWidth="1"/>
  </cols>
  <sheetData>
    <row r="3" spans="1:2" x14ac:dyDescent="0.35">
      <c r="A3" s="8" t="s">
        <v>334</v>
      </c>
      <c r="B3" t="s">
        <v>342</v>
      </c>
    </row>
    <row r="4" spans="1:2" x14ac:dyDescent="0.35">
      <c r="A4" s="9" t="s">
        <v>335</v>
      </c>
      <c r="B4" s="7">
        <v>59</v>
      </c>
    </row>
    <row r="5" spans="1:2" x14ac:dyDescent="0.35">
      <c r="A5" s="9" t="s">
        <v>336</v>
      </c>
      <c r="B5" s="7">
        <v>18</v>
      </c>
    </row>
    <row r="6" spans="1:2" x14ac:dyDescent="0.35">
      <c r="A6" s="9" t="s">
        <v>337</v>
      </c>
      <c r="B6" s="7">
        <v>32</v>
      </c>
    </row>
    <row r="7" spans="1:2" x14ac:dyDescent="0.35">
      <c r="A7" s="9" t="s">
        <v>338</v>
      </c>
      <c r="B7" s="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115"/>
  <sheetViews>
    <sheetView tabSelected="1" topLeftCell="C1" workbookViewId="0">
      <pane ySplit="1" topLeftCell="A2" activePane="bottomLeft" state="frozen"/>
      <selection activeCell="C1" sqref="C1"/>
      <selection pane="bottomLeft" activeCell="G2" sqref="G2"/>
    </sheetView>
  </sheetViews>
  <sheetFormatPr defaultRowHeight="14.5" x14ac:dyDescent="0.35"/>
  <cols>
    <col min="1" max="1" width="89.1796875" bestFit="1" customWidth="1"/>
    <col min="2" max="3" width="15.1796875" style="6" customWidth="1"/>
    <col min="4" max="4" width="16.1796875" style="4" customWidth="1"/>
    <col min="5" max="5" width="15.1796875" customWidth="1"/>
    <col min="6" max="6" width="20.7265625" style="6" bestFit="1" customWidth="1"/>
    <col min="7" max="7" width="20.7265625" style="6" customWidth="1"/>
    <col min="8" max="10" width="15.1796875" customWidth="1"/>
    <col min="11" max="11" width="13.81640625" customWidth="1"/>
  </cols>
  <sheetData>
    <row r="1" spans="1:11" s="2" customFormat="1" x14ac:dyDescent="0.35">
      <c r="A1" s="2" t="s">
        <v>0</v>
      </c>
      <c r="B1" s="5" t="s">
        <v>1</v>
      </c>
      <c r="C1" s="5" t="s">
        <v>2</v>
      </c>
      <c r="D1" s="3" t="s">
        <v>325</v>
      </c>
      <c r="E1" s="2" t="s">
        <v>3</v>
      </c>
      <c r="F1" s="5" t="s">
        <v>326</v>
      </c>
      <c r="G1" s="5" t="s">
        <v>329</v>
      </c>
      <c r="H1" s="2" t="s">
        <v>4</v>
      </c>
      <c r="I1" s="2" t="s">
        <v>324</v>
      </c>
      <c r="J1" s="2" t="s">
        <v>323</v>
      </c>
      <c r="K1" s="2" t="s">
        <v>327</v>
      </c>
    </row>
    <row r="2" spans="1:11" x14ac:dyDescent="0.35">
      <c r="A2" t="s">
        <v>212</v>
      </c>
      <c r="B2" s="6">
        <v>3750</v>
      </c>
      <c r="C2" s="6">
        <v>6143</v>
      </c>
      <c r="D2" s="4">
        <f t="shared" ref="D2:D33" si="0">(C2-B2)/C2</f>
        <v>0.38954908025394758</v>
      </c>
      <c r="E2" s="1">
        <v>0.39</v>
      </c>
      <c r="F2" s="6">
        <f t="shared" ref="F2:F33" si="1">C2-B2</f>
        <v>2393</v>
      </c>
      <c r="G2" s="6" t="b">
        <f>IF(D3&lt;20%, G3)</f>
        <v>0</v>
      </c>
      <c r="H2">
        <v>-5</v>
      </c>
      <c r="I2">
        <f t="shared" ref="I2:I33" si="2">IF(H2&lt;0,-H2,H2)</f>
        <v>5</v>
      </c>
      <c r="J2">
        <v>3</v>
      </c>
      <c r="K2" t="str">
        <f t="shared" ref="K2:K33" si="3">IF(J2="Not Provided", "Not Provided", IF(J2&lt;3, "Poor", IF(J2&lt;=4.4, "Average","Excellent")))</f>
        <v>Average</v>
      </c>
    </row>
    <row r="3" spans="1:11" x14ac:dyDescent="0.35">
      <c r="A3" t="s">
        <v>295</v>
      </c>
      <c r="B3" s="6">
        <v>3640</v>
      </c>
      <c r="C3" s="6">
        <v>4588</v>
      </c>
      <c r="D3" s="4">
        <f t="shared" si="0"/>
        <v>0.20662598081952921</v>
      </c>
      <c r="E3" s="1">
        <v>0.21</v>
      </c>
      <c r="F3" s="6">
        <f t="shared" si="1"/>
        <v>948</v>
      </c>
      <c r="H3">
        <v>-1</v>
      </c>
      <c r="I3">
        <f t="shared" si="2"/>
        <v>1</v>
      </c>
      <c r="J3">
        <v>5</v>
      </c>
      <c r="K3" t="str">
        <f t="shared" si="3"/>
        <v>Excellent</v>
      </c>
    </row>
    <row r="4" spans="1:11" x14ac:dyDescent="0.35">
      <c r="A4" t="s">
        <v>287</v>
      </c>
      <c r="B4" s="6">
        <v>3546</v>
      </c>
      <c r="C4" s="6">
        <v>3699</v>
      </c>
      <c r="D4" s="4">
        <f t="shared" si="0"/>
        <v>4.1362530413625302E-2</v>
      </c>
      <c r="E4" s="1">
        <v>0.04</v>
      </c>
      <c r="F4" s="6">
        <f t="shared" si="1"/>
        <v>153</v>
      </c>
      <c r="G4" s="6" t="str">
        <f t="shared" ref="G2:G33" si="4">IF(D4&lt;20%, "Low", IF(D4&lt;=40%, "Medium","high"))</f>
        <v>Low</v>
      </c>
      <c r="H4">
        <v>0</v>
      </c>
      <c r="I4">
        <f t="shared" si="2"/>
        <v>0</v>
      </c>
      <c r="J4" t="s">
        <v>328</v>
      </c>
      <c r="K4" t="str">
        <f t="shared" si="3"/>
        <v>Not Provided</v>
      </c>
    </row>
    <row r="5" spans="1:11" x14ac:dyDescent="0.35">
      <c r="A5" t="s">
        <v>26</v>
      </c>
      <c r="B5" s="6">
        <v>2999</v>
      </c>
      <c r="C5" s="6">
        <v>3290</v>
      </c>
      <c r="D5" s="4">
        <f t="shared" si="0"/>
        <v>8.8449848024316116E-2</v>
      </c>
      <c r="E5" s="1">
        <v>0.09</v>
      </c>
      <c r="F5" s="6">
        <f t="shared" si="1"/>
        <v>291</v>
      </c>
      <c r="G5" s="6" t="str">
        <f t="shared" si="4"/>
        <v>Low</v>
      </c>
      <c r="H5">
        <v>-15</v>
      </c>
      <c r="I5">
        <f t="shared" si="2"/>
        <v>15</v>
      </c>
      <c r="J5">
        <v>4</v>
      </c>
      <c r="K5" t="str">
        <f t="shared" si="3"/>
        <v>Average</v>
      </c>
    </row>
    <row r="6" spans="1:11" x14ac:dyDescent="0.35">
      <c r="A6" t="s">
        <v>66</v>
      </c>
      <c r="B6" s="6">
        <v>2999</v>
      </c>
      <c r="C6" s="6">
        <v>3699</v>
      </c>
      <c r="D6" s="4">
        <f t="shared" si="0"/>
        <v>0.18924033522573669</v>
      </c>
      <c r="E6" s="1">
        <v>0.19</v>
      </c>
      <c r="F6" s="6">
        <f t="shared" si="1"/>
        <v>700</v>
      </c>
      <c r="G6" s="6" t="str">
        <f t="shared" si="4"/>
        <v>Low</v>
      </c>
      <c r="H6">
        <v>-5</v>
      </c>
      <c r="I6">
        <f t="shared" si="2"/>
        <v>5</v>
      </c>
      <c r="J6">
        <v>4.5999999999999996</v>
      </c>
      <c r="K6" t="str">
        <f t="shared" si="3"/>
        <v>Excellent</v>
      </c>
    </row>
    <row r="7" spans="1:11" x14ac:dyDescent="0.35">
      <c r="A7" t="s">
        <v>92</v>
      </c>
      <c r="B7" s="6">
        <v>2880</v>
      </c>
      <c r="C7" s="6">
        <v>3520</v>
      </c>
      <c r="D7" s="4">
        <f t="shared" si="0"/>
        <v>0.18181818181818182</v>
      </c>
      <c r="E7" s="1">
        <v>0.18</v>
      </c>
      <c r="F7" s="6">
        <f t="shared" si="1"/>
        <v>640</v>
      </c>
      <c r="G7" s="6" t="str">
        <f t="shared" si="4"/>
        <v>Low</v>
      </c>
      <c r="H7">
        <v>-12</v>
      </c>
      <c r="I7">
        <f t="shared" si="2"/>
        <v>12</v>
      </c>
      <c r="J7">
        <v>3.8</v>
      </c>
      <c r="K7" t="str">
        <f t="shared" si="3"/>
        <v>Average</v>
      </c>
    </row>
    <row r="8" spans="1:11" x14ac:dyDescent="0.35">
      <c r="A8" t="s">
        <v>177</v>
      </c>
      <c r="B8" s="6">
        <v>2799</v>
      </c>
      <c r="C8" s="6">
        <v>3810</v>
      </c>
      <c r="D8" s="4">
        <f t="shared" si="0"/>
        <v>0.26535433070866143</v>
      </c>
      <c r="E8" s="1">
        <v>0.27</v>
      </c>
      <c r="F8" s="6">
        <f t="shared" si="1"/>
        <v>1011</v>
      </c>
      <c r="G8" s="6" t="str">
        <f t="shared" si="4"/>
        <v>Medium</v>
      </c>
      <c r="H8">
        <v>0</v>
      </c>
      <c r="I8">
        <f t="shared" si="2"/>
        <v>0</v>
      </c>
      <c r="J8" t="s">
        <v>328</v>
      </c>
      <c r="K8" t="str">
        <f t="shared" si="3"/>
        <v>Not Provided</v>
      </c>
    </row>
    <row r="9" spans="1:11" x14ac:dyDescent="0.35">
      <c r="A9" t="s">
        <v>128</v>
      </c>
      <c r="B9" s="6">
        <v>2750</v>
      </c>
      <c r="C9" s="6">
        <v>4471</v>
      </c>
      <c r="D9" s="4">
        <f t="shared" si="0"/>
        <v>0.38492507269067322</v>
      </c>
      <c r="E9" s="1">
        <v>0.38</v>
      </c>
      <c r="F9" s="6">
        <f t="shared" si="1"/>
        <v>1721</v>
      </c>
      <c r="G9" s="6" t="str">
        <f t="shared" si="4"/>
        <v>Medium</v>
      </c>
      <c r="H9">
        <v>0</v>
      </c>
      <c r="I9">
        <f t="shared" si="2"/>
        <v>0</v>
      </c>
      <c r="J9" t="s">
        <v>328</v>
      </c>
      <c r="K9" t="str">
        <f t="shared" si="3"/>
        <v>Not Provided</v>
      </c>
    </row>
    <row r="10" spans="1:11" x14ac:dyDescent="0.35">
      <c r="A10" t="s">
        <v>30</v>
      </c>
      <c r="B10" s="6">
        <v>2319</v>
      </c>
      <c r="C10" s="6">
        <v>3032</v>
      </c>
      <c r="D10" s="4">
        <f t="shared" si="0"/>
        <v>0.23515831134564644</v>
      </c>
      <c r="E10" s="1">
        <v>0.24</v>
      </c>
      <c r="F10" s="6">
        <f t="shared" si="1"/>
        <v>713</v>
      </c>
      <c r="G10" s="6" t="str">
        <f t="shared" si="4"/>
        <v>Medium</v>
      </c>
      <c r="H10">
        <v>-55</v>
      </c>
      <c r="I10">
        <f t="shared" si="2"/>
        <v>55</v>
      </c>
      <c r="J10">
        <v>4.5999999999999996</v>
      </c>
      <c r="K10" t="str">
        <f t="shared" si="3"/>
        <v>Excellent</v>
      </c>
    </row>
    <row r="11" spans="1:11" x14ac:dyDescent="0.35">
      <c r="A11" t="s">
        <v>218</v>
      </c>
      <c r="B11" s="6">
        <v>2300</v>
      </c>
      <c r="C11" s="6">
        <v>3240</v>
      </c>
      <c r="D11" s="4">
        <f t="shared" si="0"/>
        <v>0.29012345679012347</v>
      </c>
      <c r="E11" s="1">
        <v>0.28999999999999998</v>
      </c>
      <c r="F11" s="6">
        <f t="shared" si="1"/>
        <v>940</v>
      </c>
      <c r="G11" s="6" t="str">
        <f t="shared" si="4"/>
        <v>Medium</v>
      </c>
      <c r="H11">
        <v>-5</v>
      </c>
      <c r="I11">
        <f t="shared" si="2"/>
        <v>5</v>
      </c>
      <c r="J11">
        <v>3</v>
      </c>
      <c r="K11" t="str">
        <f t="shared" si="3"/>
        <v>Average</v>
      </c>
    </row>
    <row r="12" spans="1:11" x14ac:dyDescent="0.35">
      <c r="A12" t="s">
        <v>99</v>
      </c>
      <c r="B12" s="6">
        <v>2200</v>
      </c>
      <c r="C12" s="6">
        <v>4080</v>
      </c>
      <c r="D12" s="4">
        <f t="shared" si="0"/>
        <v>0.46078431372549017</v>
      </c>
      <c r="E12" s="1">
        <v>0.46</v>
      </c>
      <c r="F12" s="6">
        <f t="shared" si="1"/>
        <v>1880</v>
      </c>
      <c r="G12" s="6" t="str">
        <f t="shared" si="4"/>
        <v>high</v>
      </c>
      <c r="H12">
        <v>0</v>
      </c>
      <c r="I12">
        <f t="shared" si="2"/>
        <v>0</v>
      </c>
      <c r="J12" t="s">
        <v>328</v>
      </c>
      <c r="K12" t="str">
        <f t="shared" si="3"/>
        <v>Not Provided</v>
      </c>
    </row>
    <row r="13" spans="1:11" x14ac:dyDescent="0.35">
      <c r="A13" t="s">
        <v>14</v>
      </c>
      <c r="B13" s="6">
        <v>2199</v>
      </c>
      <c r="C13" s="6">
        <v>2923</v>
      </c>
      <c r="D13" s="4">
        <f t="shared" si="0"/>
        <v>0.24769072870338693</v>
      </c>
      <c r="E13" s="1">
        <v>0.25</v>
      </c>
      <c r="F13" s="6">
        <f t="shared" si="1"/>
        <v>724</v>
      </c>
      <c r="G13" s="6" t="str">
        <f t="shared" si="4"/>
        <v>Medium</v>
      </c>
      <c r="H13">
        <v>-24</v>
      </c>
      <c r="I13">
        <f t="shared" si="2"/>
        <v>24</v>
      </c>
      <c r="J13">
        <v>4.5999999999999996</v>
      </c>
      <c r="K13" t="str">
        <f t="shared" si="3"/>
        <v>Excellent</v>
      </c>
    </row>
    <row r="14" spans="1:11" x14ac:dyDescent="0.35">
      <c r="A14" t="s">
        <v>182</v>
      </c>
      <c r="B14" s="6">
        <v>2170</v>
      </c>
      <c r="C14" s="6">
        <v>2500</v>
      </c>
      <c r="D14" s="4">
        <f t="shared" si="0"/>
        <v>0.13200000000000001</v>
      </c>
      <c r="E14" s="1">
        <v>0.13</v>
      </c>
      <c r="F14" s="6">
        <f t="shared" si="1"/>
        <v>330</v>
      </c>
      <c r="G14" s="6" t="str">
        <f t="shared" si="4"/>
        <v>Low</v>
      </c>
      <c r="H14">
        <v>-6</v>
      </c>
      <c r="I14">
        <f t="shared" si="2"/>
        <v>6</v>
      </c>
      <c r="J14">
        <v>2.5</v>
      </c>
      <c r="K14" t="str">
        <f t="shared" si="3"/>
        <v>Poor</v>
      </c>
    </row>
    <row r="15" spans="1:11" x14ac:dyDescent="0.35">
      <c r="A15" t="s">
        <v>140</v>
      </c>
      <c r="B15" s="6">
        <v>2132</v>
      </c>
      <c r="C15" s="6">
        <v>2169</v>
      </c>
      <c r="D15" s="4">
        <f t="shared" si="0"/>
        <v>1.705855232826187E-2</v>
      </c>
      <c r="E15" s="1">
        <v>0.02</v>
      </c>
      <c r="F15" s="6">
        <f t="shared" si="1"/>
        <v>37</v>
      </c>
      <c r="G15" s="6" t="str">
        <f t="shared" si="4"/>
        <v>Low</v>
      </c>
      <c r="H15">
        <v>0</v>
      </c>
      <c r="I15">
        <f t="shared" si="2"/>
        <v>0</v>
      </c>
      <c r="J15" t="s">
        <v>328</v>
      </c>
      <c r="K15" t="str">
        <f t="shared" si="3"/>
        <v>Not Provided</v>
      </c>
    </row>
    <row r="16" spans="1:11" x14ac:dyDescent="0.35">
      <c r="A16" t="s">
        <v>190</v>
      </c>
      <c r="B16" s="6">
        <v>2115</v>
      </c>
      <c r="C16" s="6">
        <v>4700</v>
      </c>
      <c r="D16" s="4">
        <f t="shared" si="0"/>
        <v>0.55000000000000004</v>
      </c>
      <c r="E16" s="1">
        <v>0.55000000000000004</v>
      </c>
      <c r="F16" s="6">
        <f t="shared" si="1"/>
        <v>2585</v>
      </c>
      <c r="G16" s="6" t="str">
        <f t="shared" si="4"/>
        <v>high</v>
      </c>
      <c r="H16">
        <v>-13</v>
      </c>
      <c r="I16">
        <f t="shared" si="2"/>
        <v>13</v>
      </c>
      <c r="J16">
        <v>2.1</v>
      </c>
      <c r="K16" t="str">
        <f t="shared" si="3"/>
        <v>Poor</v>
      </c>
    </row>
    <row r="17" spans="1:11" x14ac:dyDescent="0.35">
      <c r="A17" t="s">
        <v>85</v>
      </c>
      <c r="B17" s="6">
        <v>2048</v>
      </c>
      <c r="C17" s="6">
        <v>4500</v>
      </c>
      <c r="D17" s="4">
        <f t="shared" si="0"/>
        <v>0.54488888888888887</v>
      </c>
      <c r="E17" s="1">
        <v>0.54</v>
      </c>
      <c r="F17" s="6">
        <f t="shared" si="1"/>
        <v>2452</v>
      </c>
      <c r="G17" s="6" t="str">
        <f t="shared" si="4"/>
        <v>high</v>
      </c>
      <c r="H17">
        <v>-7</v>
      </c>
      <c r="I17">
        <f t="shared" si="2"/>
        <v>7</v>
      </c>
      <c r="J17">
        <v>4.3</v>
      </c>
      <c r="K17" t="str">
        <f t="shared" si="3"/>
        <v>Average</v>
      </c>
    </row>
    <row r="18" spans="1:11" x14ac:dyDescent="0.35">
      <c r="A18" t="s">
        <v>63</v>
      </c>
      <c r="B18" s="6">
        <v>2025</v>
      </c>
      <c r="C18" s="6">
        <v>3971</v>
      </c>
      <c r="D18" s="4">
        <f t="shared" si="0"/>
        <v>0.49005288340468395</v>
      </c>
      <c r="E18" s="1">
        <v>0.49</v>
      </c>
      <c r="F18" s="6">
        <f t="shared" si="1"/>
        <v>1946</v>
      </c>
      <c r="G18" s="6" t="str">
        <f t="shared" si="4"/>
        <v>high</v>
      </c>
      <c r="H18">
        <v>-3</v>
      </c>
      <c r="I18">
        <f t="shared" si="2"/>
        <v>3</v>
      </c>
      <c r="J18">
        <v>5</v>
      </c>
      <c r="K18" t="str">
        <f t="shared" si="3"/>
        <v>Excellent</v>
      </c>
    </row>
    <row r="19" spans="1:11" x14ac:dyDescent="0.35">
      <c r="A19" t="s">
        <v>114</v>
      </c>
      <c r="B19" s="6">
        <v>1980</v>
      </c>
      <c r="C19" s="6">
        <v>2699</v>
      </c>
      <c r="D19" s="4">
        <f t="shared" si="0"/>
        <v>0.26639496109670247</v>
      </c>
      <c r="E19" s="1">
        <v>0.27</v>
      </c>
      <c r="F19" s="6">
        <f t="shared" si="1"/>
        <v>719</v>
      </c>
      <c r="G19" s="6" t="str">
        <f t="shared" si="4"/>
        <v>Medium</v>
      </c>
      <c r="H19">
        <v>-32</v>
      </c>
      <c r="I19">
        <f t="shared" si="2"/>
        <v>32</v>
      </c>
      <c r="J19">
        <v>4.5</v>
      </c>
      <c r="K19" t="str">
        <f t="shared" si="3"/>
        <v>Excellent</v>
      </c>
    </row>
    <row r="20" spans="1:11" x14ac:dyDescent="0.35">
      <c r="A20" t="s">
        <v>111</v>
      </c>
      <c r="B20" s="6">
        <v>1940</v>
      </c>
      <c r="C20" s="6">
        <v>2650</v>
      </c>
      <c r="D20" s="4">
        <f t="shared" si="0"/>
        <v>0.26792452830188679</v>
      </c>
      <c r="E20" s="1">
        <v>0.27</v>
      </c>
      <c r="F20" s="6">
        <f t="shared" si="1"/>
        <v>710</v>
      </c>
      <c r="G20" s="6" t="str">
        <f t="shared" si="4"/>
        <v>Medium</v>
      </c>
      <c r="H20">
        <v>-20</v>
      </c>
      <c r="I20">
        <f t="shared" si="2"/>
        <v>20</v>
      </c>
      <c r="J20">
        <v>4.7</v>
      </c>
      <c r="K20" t="str">
        <f t="shared" si="3"/>
        <v>Excellent</v>
      </c>
    </row>
    <row r="21" spans="1:11" x14ac:dyDescent="0.35">
      <c r="A21" t="s">
        <v>301</v>
      </c>
      <c r="B21" s="6">
        <v>1875</v>
      </c>
      <c r="C21" s="6">
        <v>1899</v>
      </c>
      <c r="D21" s="4">
        <f t="shared" si="0"/>
        <v>1.2638230647709321E-2</v>
      </c>
      <c r="E21" s="1">
        <v>0.01</v>
      </c>
      <c r="F21" s="6">
        <f t="shared" si="1"/>
        <v>24</v>
      </c>
      <c r="G21" s="6" t="str">
        <f t="shared" si="4"/>
        <v>Low</v>
      </c>
      <c r="H21">
        <v>0</v>
      </c>
      <c r="I21">
        <f t="shared" si="2"/>
        <v>0</v>
      </c>
      <c r="J21" t="s">
        <v>328</v>
      </c>
      <c r="K21" t="str">
        <f t="shared" si="3"/>
        <v>Not Provided</v>
      </c>
    </row>
    <row r="22" spans="1:11" x14ac:dyDescent="0.35">
      <c r="A22" t="s">
        <v>75</v>
      </c>
      <c r="B22" s="6">
        <v>1860</v>
      </c>
      <c r="C22" s="6">
        <v>3220</v>
      </c>
      <c r="D22" s="4">
        <f t="shared" si="0"/>
        <v>0.42236024844720499</v>
      </c>
      <c r="E22" s="1">
        <v>0.42</v>
      </c>
      <c r="F22" s="6">
        <f t="shared" si="1"/>
        <v>1360</v>
      </c>
      <c r="G22" s="6" t="str">
        <f t="shared" si="4"/>
        <v>high</v>
      </c>
      <c r="H22">
        <v>0</v>
      </c>
      <c r="I22">
        <f t="shared" si="2"/>
        <v>0</v>
      </c>
      <c r="J22" t="s">
        <v>328</v>
      </c>
      <c r="K22" t="str">
        <f t="shared" si="3"/>
        <v>Not Provided</v>
      </c>
    </row>
    <row r="23" spans="1:11" x14ac:dyDescent="0.35">
      <c r="A23" t="s">
        <v>108</v>
      </c>
      <c r="B23" s="6">
        <v>1820</v>
      </c>
      <c r="C23" s="6">
        <v>3490</v>
      </c>
      <c r="D23" s="4">
        <f t="shared" si="0"/>
        <v>0.47851002865329512</v>
      </c>
      <c r="E23" s="1">
        <v>0.48</v>
      </c>
      <c r="F23" s="6">
        <f t="shared" si="1"/>
        <v>1670</v>
      </c>
      <c r="G23" s="6" t="str">
        <f t="shared" si="4"/>
        <v>high</v>
      </c>
      <c r="H23">
        <v>-9</v>
      </c>
      <c r="I23">
        <f t="shared" si="2"/>
        <v>9</v>
      </c>
      <c r="J23">
        <v>4.3</v>
      </c>
      <c r="K23" t="str">
        <f t="shared" si="3"/>
        <v>Average</v>
      </c>
    </row>
    <row r="24" spans="1:11" x14ac:dyDescent="0.35">
      <c r="A24" t="s">
        <v>125</v>
      </c>
      <c r="B24" s="6">
        <v>1800</v>
      </c>
      <c r="C24" s="6">
        <v>2700</v>
      </c>
      <c r="D24" s="4">
        <f t="shared" si="0"/>
        <v>0.33333333333333331</v>
      </c>
      <c r="E24" s="1">
        <v>0.38</v>
      </c>
      <c r="F24" s="6">
        <f t="shared" si="1"/>
        <v>900</v>
      </c>
      <c r="G24" s="6" t="str">
        <f t="shared" si="4"/>
        <v>Medium</v>
      </c>
      <c r="H24">
        <v>-2</v>
      </c>
      <c r="I24">
        <f t="shared" si="2"/>
        <v>2</v>
      </c>
      <c r="J24">
        <v>4.5</v>
      </c>
      <c r="K24" t="str">
        <f t="shared" si="3"/>
        <v>Excellent</v>
      </c>
    </row>
    <row r="25" spans="1:11" x14ac:dyDescent="0.35">
      <c r="A25" t="s">
        <v>314</v>
      </c>
      <c r="B25" s="6">
        <v>1768</v>
      </c>
      <c r="C25" s="6">
        <v>1799</v>
      </c>
      <c r="D25" s="4">
        <f t="shared" si="0"/>
        <v>1.7231795441912175E-2</v>
      </c>
      <c r="E25" s="1">
        <v>0.02</v>
      </c>
      <c r="F25" s="6">
        <f t="shared" si="1"/>
        <v>31</v>
      </c>
      <c r="G25" s="6" t="str">
        <f t="shared" si="4"/>
        <v>Low</v>
      </c>
      <c r="H25">
        <v>0</v>
      </c>
      <c r="I25">
        <f t="shared" si="2"/>
        <v>0</v>
      </c>
      <c r="J25" t="s">
        <v>328</v>
      </c>
      <c r="K25" t="str">
        <f t="shared" si="3"/>
        <v>Not Provided</v>
      </c>
    </row>
    <row r="26" spans="1:11" x14ac:dyDescent="0.35">
      <c r="A26" t="s">
        <v>97</v>
      </c>
      <c r="B26" s="6">
        <v>1758</v>
      </c>
      <c r="C26" s="6">
        <v>2499</v>
      </c>
      <c r="D26" s="4">
        <f t="shared" si="0"/>
        <v>0.2965186074429772</v>
      </c>
      <c r="E26" s="1">
        <v>0.3</v>
      </c>
      <c r="F26" s="6">
        <f t="shared" si="1"/>
        <v>741</v>
      </c>
      <c r="G26" s="6" t="str">
        <f t="shared" si="4"/>
        <v>Medium</v>
      </c>
      <c r="H26">
        <v>-20</v>
      </c>
      <c r="I26">
        <f t="shared" si="2"/>
        <v>20</v>
      </c>
      <c r="J26">
        <v>4.0999999999999996</v>
      </c>
      <c r="K26" t="str">
        <f t="shared" si="3"/>
        <v>Average</v>
      </c>
    </row>
    <row r="27" spans="1:11" x14ac:dyDescent="0.35">
      <c r="A27" t="s">
        <v>22</v>
      </c>
      <c r="B27" s="6">
        <v>1740</v>
      </c>
      <c r="C27" s="6">
        <v>2356</v>
      </c>
      <c r="D27" s="4">
        <f t="shared" si="0"/>
        <v>0.26146010186757218</v>
      </c>
      <c r="E27" s="1">
        <v>0.26</v>
      </c>
      <c r="F27" s="6">
        <f t="shared" si="1"/>
        <v>616</v>
      </c>
      <c r="G27" s="6" t="str">
        <f t="shared" si="4"/>
        <v>Medium</v>
      </c>
      <c r="H27">
        <v>-5</v>
      </c>
      <c r="I27">
        <f t="shared" si="2"/>
        <v>5</v>
      </c>
      <c r="J27">
        <v>4.8</v>
      </c>
      <c r="K27" t="str">
        <f t="shared" si="3"/>
        <v>Excellent</v>
      </c>
    </row>
    <row r="28" spans="1:11" x14ac:dyDescent="0.35">
      <c r="A28" t="s">
        <v>237</v>
      </c>
      <c r="B28" s="6">
        <v>1732</v>
      </c>
      <c r="C28" s="6">
        <v>1799</v>
      </c>
      <c r="D28" s="4">
        <f t="shared" si="0"/>
        <v>3.7242912729294052E-2</v>
      </c>
      <c r="E28" s="1">
        <v>0.04</v>
      </c>
      <c r="F28" s="6">
        <f t="shared" si="1"/>
        <v>67</v>
      </c>
      <c r="G28" s="6" t="str">
        <f t="shared" si="4"/>
        <v>Low</v>
      </c>
      <c r="H28">
        <v>0</v>
      </c>
      <c r="I28">
        <f t="shared" si="2"/>
        <v>0</v>
      </c>
      <c r="J28" t="s">
        <v>328</v>
      </c>
      <c r="K28" t="str">
        <f t="shared" si="3"/>
        <v>Not Provided</v>
      </c>
    </row>
    <row r="29" spans="1:11" x14ac:dyDescent="0.35">
      <c r="A29" t="s">
        <v>53</v>
      </c>
      <c r="B29" s="6">
        <v>1680</v>
      </c>
      <c r="C29" s="6">
        <v>2499</v>
      </c>
      <c r="D29" s="4">
        <f t="shared" si="0"/>
        <v>0.32773109243697479</v>
      </c>
      <c r="E29" s="1">
        <v>0.33</v>
      </c>
      <c r="F29" s="6">
        <f t="shared" si="1"/>
        <v>819</v>
      </c>
      <c r="G29" s="6" t="str">
        <f t="shared" si="4"/>
        <v>Medium</v>
      </c>
      <c r="H29">
        <v>-9</v>
      </c>
      <c r="I29">
        <f t="shared" si="2"/>
        <v>9</v>
      </c>
      <c r="J29">
        <v>4.2</v>
      </c>
      <c r="K29" t="str">
        <f t="shared" si="3"/>
        <v>Average</v>
      </c>
    </row>
    <row r="30" spans="1:11" x14ac:dyDescent="0.35">
      <c r="A30" t="s">
        <v>251</v>
      </c>
      <c r="B30" s="6">
        <v>1666</v>
      </c>
      <c r="C30" s="6">
        <v>1699</v>
      </c>
      <c r="D30" s="4">
        <f t="shared" si="0"/>
        <v>1.9423190111830489E-2</v>
      </c>
      <c r="E30" s="1">
        <v>0.02</v>
      </c>
      <c r="F30" s="6">
        <f t="shared" si="1"/>
        <v>33</v>
      </c>
      <c r="G30" s="6" t="str">
        <f t="shared" si="4"/>
        <v>Low</v>
      </c>
      <c r="H30">
        <v>0</v>
      </c>
      <c r="I30">
        <f t="shared" si="2"/>
        <v>0</v>
      </c>
      <c r="J30" t="s">
        <v>328</v>
      </c>
      <c r="K30" t="str">
        <f t="shared" si="3"/>
        <v>Not Provided</v>
      </c>
    </row>
    <row r="31" spans="1:11" x14ac:dyDescent="0.35">
      <c r="A31" t="s">
        <v>160</v>
      </c>
      <c r="B31" s="6">
        <v>1660</v>
      </c>
      <c r="C31" s="6">
        <v>1699</v>
      </c>
      <c r="D31" s="4">
        <f t="shared" si="0"/>
        <v>2.2954679223072396E-2</v>
      </c>
      <c r="E31" s="1">
        <v>0.02</v>
      </c>
      <c r="F31" s="6">
        <f t="shared" si="1"/>
        <v>39</v>
      </c>
      <c r="G31" s="6" t="str">
        <f t="shared" si="4"/>
        <v>Low</v>
      </c>
      <c r="H31">
        <v>0</v>
      </c>
      <c r="I31">
        <f t="shared" si="2"/>
        <v>0</v>
      </c>
      <c r="J31" t="s">
        <v>328</v>
      </c>
      <c r="K31" t="str">
        <f t="shared" si="3"/>
        <v>Not Provided</v>
      </c>
    </row>
    <row r="32" spans="1:11" x14ac:dyDescent="0.35">
      <c r="A32" t="s">
        <v>312</v>
      </c>
      <c r="B32" s="6">
        <v>1658</v>
      </c>
      <c r="C32" s="6">
        <v>1699</v>
      </c>
      <c r="D32" s="4">
        <f t="shared" si="0"/>
        <v>2.4131842260153032E-2</v>
      </c>
      <c r="E32" s="1">
        <v>0.02</v>
      </c>
      <c r="F32" s="6">
        <f t="shared" si="1"/>
        <v>41</v>
      </c>
      <c r="G32" s="6" t="str">
        <f t="shared" si="4"/>
        <v>Low</v>
      </c>
      <c r="H32">
        <v>0</v>
      </c>
      <c r="I32">
        <f t="shared" si="2"/>
        <v>0</v>
      </c>
      <c r="J32" t="s">
        <v>328</v>
      </c>
      <c r="K32" t="str">
        <f t="shared" si="3"/>
        <v>Not Provided</v>
      </c>
    </row>
    <row r="33" spans="1:11" x14ac:dyDescent="0.35">
      <c r="A33" t="s">
        <v>81</v>
      </c>
      <c r="B33" s="6">
        <v>1650</v>
      </c>
      <c r="C33" s="6">
        <v>2150</v>
      </c>
      <c r="D33" s="4">
        <f t="shared" si="0"/>
        <v>0.23255813953488372</v>
      </c>
      <c r="E33" s="1">
        <v>0.23</v>
      </c>
      <c r="F33" s="6">
        <f t="shared" si="1"/>
        <v>500</v>
      </c>
      <c r="G33" s="6" t="str">
        <f t="shared" si="4"/>
        <v>Medium</v>
      </c>
      <c r="H33">
        <v>-14</v>
      </c>
      <c r="I33">
        <f t="shared" si="2"/>
        <v>14</v>
      </c>
      <c r="J33">
        <v>4.4000000000000004</v>
      </c>
      <c r="K33" t="str">
        <f t="shared" si="3"/>
        <v>Average</v>
      </c>
    </row>
    <row r="34" spans="1:11" x14ac:dyDescent="0.35">
      <c r="A34" t="s">
        <v>117</v>
      </c>
      <c r="B34" s="6">
        <v>1620</v>
      </c>
      <c r="C34" s="6">
        <v>2690</v>
      </c>
      <c r="D34" s="4">
        <f t="shared" ref="D34:D65" si="5">(C34-B34)/C34</f>
        <v>0.39776951672862454</v>
      </c>
      <c r="E34" s="1">
        <v>0.4</v>
      </c>
      <c r="F34" s="6">
        <f t="shared" ref="F34:F65" si="6">C34-B34</f>
        <v>1070</v>
      </c>
      <c r="G34" s="6" t="str">
        <f t="shared" ref="G34:G65" si="7">IF(D34&lt;20%, "Low", IF(D34&lt;=40%, "Medium","high"))</f>
        <v>Medium</v>
      </c>
      <c r="H34">
        <v>-1</v>
      </c>
      <c r="I34">
        <f t="shared" ref="I34:I65" si="8">IF(H34&lt;0,-H34,H34)</f>
        <v>1</v>
      </c>
      <c r="J34">
        <v>5</v>
      </c>
      <c r="K34" t="str">
        <f t="shared" ref="K34:K65" si="9">IF(J34="Not Provided", "Not Provided", IF(J34&lt;3, "Poor", IF(J34&lt;=4.4, "Average","Excellent")))</f>
        <v>Excellent</v>
      </c>
    </row>
    <row r="35" spans="1:11" x14ac:dyDescent="0.35">
      <c r="A35" t="s">
        <v>38</v>
      </c>
      <c r="B35" s="6">
        <v>1600</v>
      </c>
      <c r="C35" s="6">
        <v>2929</v>
      </c>
      <c r="D35" s="4">
        <f t="shared" si="5"/>
        <v>0.45373847729600547</v>
      </c>
      <c r="E35" s="1">
        <v>0.45</v>
      </c>
      <c r="F35" s="6">
        <f t="shared" si="6"/>
        <v>1329</v>
      </c>
      <c r="G35" s="6" t="str">
        <f t="shared" si="7"/>
        <v>high</v>
      </c>
      <c r="H35">
        <v>-5</v>
      </c>
      <c r="I35">
        <f t="shared" si="8"/>
        <v>5</v>
      </c>
      <c r="J35">
        <v>3.8</v>
      </c>
      <c r="K35" t="str">
        <f t="shared" si="9"/>
        <v>Average</v>
      </c>
    </row>
    <row r="36" spans="1:11" x14ac:dyDescent="0.35">
      <c r="A36" t="s">
        <v>18</v>
      </c>
      <c r="B36" s="6">
        <v>1580</v>
      </c>
      <c r="C36" s="6">
        <v>2499</v>
      </c>
      <c r="D36" s="4">
        <f t="shared" si="5"/>
        <v>0.36774709883953582</v>
      </c>
      <c r="E36" s="1">
        <v>0.37</v>
      </c>
      <c r="F36" s="6">
        <f t="shared" si="6"/>
        <v>919</v>
      </c>
      <c r="G36" s="6" t="str">
        <f t="shared" si="7"/>
        <v>Medium</v>
      </c>
      <c r="H36">
        <v>-7</v>
      </c>
      <c r="I36">
        <f t="shared" si="8"/>
        <v>7</v>
      </c>
      <c r="J36">
        <v>4.7</v>
      </c>
      <c r="K36" t="str">
        <f t="shared" si="9"/>
        <v>Excellent</v>
      </c>
    </row>
    <row r="37" spans="1:11" x14ac:dyDescent="0.35">
      <c r="A37" t="s">
        <v>229</v>
      </c>
      <c r="B37" s="6">
        <v>1570</v>
      </c>
      <c r="C37" s="6">
        <v>2988</v>
      </c>
      <c r="D37" s="4">
        <f t="shared" si="5"/>
        <v>0.4745649263721553</v>
      </c>
      <c r="E37" s="1">
        <v>0.47</v>
      </c>
      <c r="F37" s="6">
        <f t="shared" si="6"/>
        <v>1418</v>
      </c>
      <c r="G37" s="6" t="str">
        <f t="shared" si="7"/>
        <v>high</v>
      </c>
      <c r="H37">
        <v>-7</v>
      </c>
      <c r="I37">
        <f t="shared" si="8"/>
        <v>7</v>
      </c>
      <c r="J37">
        <v>2.1</v>
      </c>
      <c r="K37" t="str">
        <f t="shared" si="9"/>
        <v>Poor</v>
      </c>
    </row>
    <row r="38" spans="1:11" x14ac:dyDescent="0.35">
      <c r="A38" t="s">
        <v>280</v>
      </c>
      <c r="B38" s="6">
        <v>1526</v>
      </c>
      <c r="C38" s="6">
        <v>1660</v>
      </c>
      <c r="D38" s="4">
        <f t="shared" si="5"/>
        <v>8.0722891566265054E-2</v>
      </c>
      <c r="E38" s="1">
        <v>0.08</v>
      </c>
      <c r="F38" s="6">
        <f t="shared" si="6"/>
        <v>134</v>
      </c>
      <c r="G38" s="6" t="str">
        <f t="shared" si="7"/>
        <v>Low</v>
      </c>
      <c r="H38">
        <v>0</v>
      </c>
      <c r="I38">
        <f t="shared" si="8"/>
        <v>0</v>
      </c>
      <c r="J38" t="s">
        <v>328</v>
      </c>
      <c r="K38" t="str">
        <f t="shared" si="9"/>
        <v>Not Provided</v>
      </c>
    </row>
    <row r="39" spans="1:11" x14ac:dyDescent="0.35">
      <c r="A39" t="s">
        <v>264</v>
      </c>
      <c r="B39" s="6">
        <v>1468</v>
      </c>
      <c r="C39" s="6">
        <v>1699</v>
      </c>
      <c r="D39" s="4">
        <f t="shared" si="5"/>
        <v>0.13596233078281342</v>
      </c>
      <c r="E39" s="1">
        <v>0.14000000000000001</v>
      </c>
      <c r="F39" s="6">
        <f t="shared" si="6"/>
        <v>231</v>
      </c>
      <c r="G39" s="6" t="str">
        <f t="shared" si="7"/>
        <v>Low</v>
      </c>
      <c r="H39">
        <v>0</v>
      </c>
      <c r="I39">
        <f t="shared" si="8"/>
        <v>0</v>
      </c>
      <c r="J39" t="s">
        <v>328</v>
      </c>
      <c r="K39" t="str">
        <f t="shared" si="9"/>
        <v>Not Provided</v>
      </c>
    </row>
    <row r="40" spans="1:11" x14ac:dyDescent="0.35">
      <c r="A40" t="s">
        <v>256</v>
      </c>
      <c r="B40" s="6">
        <v>1466</v>
      </c>
      <c r="C40" s="6">
        <v>1699</v>
      </c>
      <c r="D40" s="4">
        <f t="shared" si="5"/>
        <v>0.13713949381989404</v>
      </c>
      <c r="E40" s="1">
        <v>0.14000000000000001</v>
      </c>
      <c r="F40" s="6">
        <f t="shared" si="6"/>
        <v>233</v>
      </c>
      <c r="G40" s="6" t="str">
        <f t="shared" si="7"/>
        <v>Low</v>
      </c>
      <c r="H40">
        <v>0</v>
      </c>
      <c r="I40">
        <f t="shared" si="8"/>
        <v>0</v>
      </c>
      <c r="J40" t="s">
        <v>328</v>
      </c>
      <c r="K40" t="str">
        <f t="shared" si="9"/>
        <v>Not Provided</v>
      </c>
    </row>
    <row r="41" spans="1:11" x14ac:dyDescent="0.35">
      <c r="A41" t="s">
        <v>282</v>
      </c>
      <c r="B41" s="6">
        <v>1462</v>
      </c>
      <c r="C41" s="6">
        <v>1499</v>
      </c>
      <c r="D41" s="4">
        <f t="shared" si="5"/>
        <v>2.4683122081387593E-2</v>
      </c>
      <c r="E41" s="1">
        <v>0.02</v>
      </c>
      <c r="F41" s="6">
        <f t="shared" si="6"/>
        <v>37</v>
      </c>
      <c r="G41" s="6" t="str">
        <f t="shared" si="7"/>
        <v>Low</v>
      </c>
      <c r="H41">
        <v>0</v>
      </c>
      <c r="I41">
        <f t="shared" si="8"/>
        <v>0</v>
      </c>
      <c r="J41" t="s">
        <v>328</v>
      </c>
      <c r="K41" t="str">
        <f t="shared" si="9"/>
        <v>Not Provided</v>
      </c>
    </row>
    <row r="42" spans="1:11" x14ac:dyDescent="0.35">
      <c r="A42" t="s">
        <v>248</v>
      </c>
      <c r="B42" s="6">
        <v>1460</v>
      </c>
      <c r="C42" s="6">
        <v>2290</v>
      </c>
      <c r="D42" s="4">
        <f t="shared" si="5"/>
        <v>0.36244541484716158</v>
      </c>
      <c r="E42" s="1">
        <v>0.36</v>
      </c>
      <c r="F42" s="6">
        <f t="shared" si="6"/>
        <v>830</v>
      </c>
      <c r="G42" s="6" t="str">
        <f t="shared" si="7"/>
        <v>Medium</v>
      </c>
      <c r="H42">
        <v>0</v>
      </c>
      <c r="I42">
        <f t="shared" si="8"/>
        <v>0</v>
      </c>
      <c r="J42" t="s">
        <v>328</v>
      </c>
      <c r="K42" t="str">
        <f t="shared" si="9"/>
        <v>Not Provided</v>
      </c>
    </row>
    <row r="43" spans="1:11" x14ac:dyDescent="0.35">
      <c r="A43" t="s">
        <v>165</v>
      </c>
      <c r="B43" s="6">
        <v>1459</v>
      </c>
      <c r="C43" s="6">
        <v>1499</v>
      </c>
      <c r="D43" s="4">
        <f t="shared" si="5"/>
        <v>2.6684456304202801E-2</v>
      </c>
      <c r="E43" s="1">
        <v>0.03</v>
      </c>
      <c r="F43" s="6">
        <f t="shared" si="6"/>
        <v>40</v>
      </c>
      <c r="G43" s="6" t="str">
        <f t="shared" si="7"/>
        <v>Low</v>
      </c>
      <c r="H43">
        <v>0</v>
      </c>
      <c r="I43">
        <f t="shared" si="8"/>
        <v>0</v>
      </c>
      <c r="J43" t="s">
        <v>328</v>
      </c>
      <c r="K43" t="str">
        <f t="shared" si="9"/>
        <v>Not Provided</v>
      </c>
    </row>
    <row r="44" spans="1:11" x14ac:dyDescent="0.35">
      <c r="A44" t="s">
        <v>298</v>
      </c>
      <c r="B44" s="6">
        <v>1420</v>
      </c>
      <c r="C44" s="6">
        <v>2420</v>
      </c>
      <c r="D44" s="4">
        <f t="shared" si="5"/>
        <v>0.41322314049586778</v>
      </c>
      <c r="E44" s="1">
        <v>0.41</v>
      </c>
      <c r="F44" s="6">
        <f t="shared" si="6"/>
        <v>1000</v>
      </c>
      <c r="G44" s="6" t="str">
        <f t="shared" si="7"/>
        <v>high</v>
      </c>
      <c r="H44">
        <v>0</v>
      </c>
      <c r="I44">
        <f t="shared" si="8"/>
        <v>0</v>
      </c>
      <c r="J44" t="s">
        <v>328</v>
      </c>
      <c r="K44" t="str">
        <f t="shared" si="9"/>
        <v>Not Provided</v>
      </c>
    </row>
    <row r="45" spans="1:11" x14ac:dyDescent="0.35">
      <c r="A45" t="s">
        <v>95</v>
      </c>
      <c r="B45" s="6">
        <v>1350</v>
      </c>
      <c r="C45" s="6">
        <v>1990</v>
      </c>
      <c r="D45" s="4">
        <f t="shared" si="5"/>
        <v>0.32160804020100503</v>
      </c>
      <c r="E45" s="1">
        <v>0.32</v>
      </c>
      <c r="F45" s="6">
        <f t="shared" si="6"/>
        <v>640</v>
      </c>
      <c r="G45" s="6" t="str">
        <f t="shared" si="7"/>
        <v>Medium</v>
      </c>
      <c r="H45">
        <v>-13</v>
      </c>
      <c r="I45">
        <f t="shared" si="8"/>
        <v>13</v>
      </c>
      <c r="J45">
        <v>3.8</v>
      </c>
      <c r="K45" t="str">
        <f t="shared" si="9"/>
        <v>Average</v>
      </c>
    </row>
    <row r="46" spans="1:11" x14ac:dyDescent="0.35">
      <c r="A46" t="s">
        <v>272</v>
      </c>
      <c r="B46" s="6">
        <v>1300</v>
      </c>
      <c r="C46" s="6">
        <v>2500</v>
      </c>
      <c r="D46" s="4">
        <f t="shared" si="5"/>
        <v>0.48</v>
      </c>
      <c r="E46" s="1">
        <v>0.48</v>
      </c>
      <c r="F46" s="6">
        <f t="shared" si="6"/>
        <v>1200</v>
      </c>
      <c r="G46" s="6" t="str">
        <f t="shared" si="7"/>
        <v>high</v>
      </c>
      <c r="H46">
        <v>0</v>
      </c>
      <c r="I46">
        <f t="shared" si="8"/>
        <v>0</v>
      </c>
      <c r="J46" t="s">
        <v>328</v>
      </c>
      <c r="K46" t="str">
        <f t="shared" si="9"/>
        <v>Not Provided</v>
      </c>
    </row>
    <row r="47" spans="1:11" x14ac:dyDescent="0.35">
      <c r="A47" t="s">
        <v>35</v>
      </c>
      <c r="B47" s="6">
        <v>1274</v>
      </c>
      <c r="C47" s="6">
        <v>2800</v>
      </c>
      <c r="D47" s="4">
        <f t="shared" si="5"/>
        <v>0.54500000000000004</v>
      </c>
      <c r="E47" s="1">
        <v>0.55000000000000004</v>
      </c>
      <c r="F47" s="6">
        <f t="shared" si="6"/>
        <v>1526</v>
      </c>
      <c r="G47" s="6" t="str">
        <f t="shared" si="7"/>
        <v>high</v>
      </c>
      <c r="H47">
        <v>-5</v>
      </c>
      <c r="I47">
        <f t="shared" si="8"/>
        <v>5</v>
      </c>
      <c r="J47">
        <v>4.8</v>
      </c>
      <c r="K47" t="str">
        <f t="shared" si="9"/>
        <v>Excellent</v>
      </c>
    </row>
    <row r="48" spans="1:11" x14ac:dyDescent="0.35">
      <c r="A48" t="s">
        <v>202</v>
      </c>
      <c r="B48" s="6">
        <v>1220</v>
      </c>
      <c r="C48" s="6">
        <v>1555</v>
      </c>
      <c r="D48" s="4">
        <f t="shared" si="5"/>
        <v>0.21543408360128619</v>
      </c>
      <c r="E48" s="1">
        <v>0.22</v>
      </c>
      <c r="F48" s="6">
        <f t="shared" si="6"/>
        <v>335</v>
      </c>
      <c r="G48" s="6" t="str">
        <f t="shared" si="7"/>
        <v>Medium</v>
      </c>
      <c r="H48">
        <v>-16</v>
      </c>
      <c r="I48">
        <f t="shared" si="8"/>
        <v>16</v>
      </c>
      <c r="J48">
        <v>2.9</v>
      </c>
      <c r="K48" t="str">
        <f t="shared" si="9"/>
        <v>Poor</v>
      </c>
    </row>
    <row r="49" spans="1:11" x14ac:dyDescent="0.35">
      <c r="A49" t="s">
        <v>151</v>
      </c>
      <c r="B49" s="6">
        <v>1200</v>
      </c>
      <c r="C49" s="6">
        <v>1950</v>
      </c>
      <c r="D49" s="4">
        <f t="shared" si="5"/>
        <v>0.38461538461538464</v>
      </c>
      <c r="E49" s="1">
        <v>0.38</v>
      </c>
      <c r="F49" s="6">
        <f t="shared" si="6"/>
        <v>750</v>
      </c>
      <c r="G49" s="6" t="str">
        <f t="shared" si="7"/>
        <v>Medium</v>
      </c>
      <c r="H49">
        <v>0</v>
      </c>
      <c r="I49">
        <f t="shared" si="8"/>
        <v>0</v>
      </c>
      <c r="J49" t="s">
        <v>328</v>
      </c>
      <c r="K49" t="str">
        <f t="shared" si="9"/>
        <v>Not Provided</v>
      </c>
    </row>
    <row r="50" spans="1:11" x14ac:dyDescent="0.35">
      <c r="A50" t="s">
        <v>278</v>
      </c>
      <c r="B50" s="6">
        <v>1200</v>
      </c>
      <c r="C50" s="6">
        <v>2400</v>
      </c>
      <c r="D50" s="4">
        <f t="shared" si="5"/>
        <v>0.5</v>
      </c>
      <c r="E50" s="1">
        <v>0.5</v>
      </c>
      <c r="F50" s="6">
        <f t="shared" si="6"/>
        <v>1200</v>
      </c>
      <c r="G50" s="6" t="str">
        <f t="shared" si="7"/>
        <v>high</v>
      </c>
      <c r="H50">
        <v>0</v>
      </c>
      <c r="I50">
        <f t="shared" si="8"/>
        <v>0</v>
      </c>
      <c r="J50" t="s">
        <v>328</v>
      </c>
      <c r="K50" t="str">
        <f t="shared" si="9"/>
        <v>Not Provided</v>
      </c>
    </row>
    <row r="51" spans="1:11" x14ac:dyDescent="0.35">
      <c r="A51" t="s">
        <v>145</v>
      </c>
      <c r="B51" s="6">
        <v>1190</v>
      </c>
      <c r="C51" s="6">
        <v>1785</v>
      </c>
      <c r="D51" s="4">
        <f t="shared" si="5"/>
        <v>0.33333333333333331</v>
      </c>
      <c r="E51" s="1">
        <v>0.33</v>
      </c>
      <c r="F51" s="6">
        <f t="shared" si="6"/>
        <v>595</v>
      </c>
      <c r="G51" s="6" t="str">
        <f t="shared" si="7"/>
        <v>Medium</v>
      </c>
      <c r="H51">
        <v>0</v>
      </c>
      <c r="I51">
        <f t="shared" si="8"/>
        <v>0</v>
      </c>
      <c r="J51" t="s">
        <v>328</v>
      </c>
      <c r="K51" t="str">
        <f t="shared" si="9"/>
        <v>Not Provided</v>
      </c>
    </row>
    <row r="52" spans="1:11" x14ac:dyDescent="0.35">
      <c r="A52" t="s">
        <v>310</v>
      </c>
      <c r="B52" s="6">
        <v>1190</v>
      </c>
      <c r="C52" s="6">
        <v>1810</v>
      </c>
      <c r="D52" s="4">
        <f t="shared" si="5"/>
        <v>0.34254143646408841</v>
      </c>
      <c r="E52" s="1">
        <v>0.34</v>
      </c>
      <c r="F52" s="6">
        <f t="shared" si="6"/>
        <v>620</v>
      </c>
      <c r="G52" s="6" t="str">
        <f t="shared" si="7"/>
        <v>Medium</v>
      </c>
      <c r="H52">
        <v>0</v>
      </c>
      <c r="I52">
        <f t="shared" si="8"/>
        <v>0</v>
      </c>
      <c r="J52" t="s">
        <v>328</v>
      </c>
      <c r="K52" t="str">
        <f t="shared" si="9"/>
        <v>Not Provided</v>
      </c>
    </row>
    <row r="53" spans="1:11" x14ac:dyDescent="0.35">
      <c r="A53" t="s">
        <v>243</v>
      </c>
      <c r="B53" s="6">
        <v>1189</v>
      </c>
      <c r="C53" s="6">
        <v>2199</v>
      </c>
      <c r="D53" s="4">
        <f t="shared" si="5"/>
        <v>0.45929968167348795</v>
      </c>
      <c r="E53" s="1">
        <v>0.46</v>
      </c>
      <c r="F53" s="6">
        <f t="shared" si="6"/>
        <v>1010</v>
      </c>
      <c r="G53" s="6" t="str">
        <f t="shared" si="7"/>
        <v>high</v>
      </c>
      <c r="H53">
        <v>-1</v>
      </c>
      <c r="I53">
        <f t="shared" si="8"/>
        <v>1</v>
      </c>
      <c r="J53">
        <v>3</v>
      </c>
      <c r="K53" t="str">
        <f t="shared" si="9"/>
        <v>Average</v>
      </c>
    </row>
    <row r="54" spans="1:11" x14ac:dyDescent="0.35">
      <c r="A54" t="s">
        <v>307</v>
      </c>
      <c r="B54" s="6">
        <v>1150</v>
      </c>
      <c r="C54" s="6">
        <v>1737</v>
      </c>
      <c r="D54" s="4">
        <f t="shared" si="5"/>
        <v>0.3379389752446747</v>
      </c>
      <c r="E54" s="1">
        <v>0.34</v>
      </c>
      <c r="F54" s="6">
        <f t="shared" si="6"/>
        <v>587</v>
      </c>
      <c r="G54" s="6" t="str">
        <f t="shared" si="7"/>
        <v>Medium</v>
      </c>
      <c r="H54">
        <v>0</v>
      </c>
      <c r="I54">
        <f t="shared" si="8"/>
        <v>0</v>
      </c>
      <c r="J54" t="s">
        <v>328</v>
      </c>
      <c r="K54" t="str">
        <f t="shared" si="9"/>
        <v>Not Provided</v>
      </c>
    </row>
    <row r="55" spans="1:11" x14ac:dyDescent="0.35">
      <c r="A55" t="s">
        <v>292</v>
      </c>
      <c r="B55" s="6">
        <v>1080</v>
      </c>
      <c r="C55" s="6">
        <v>1874</v>
      </c>
      <c r="D55" s="4">
        <f t="shared" si="5"/>
        <v>0.42369263607257202</v>
      </c>
      <c r="E55" s="1">
        <v>0.42</v>
      </c>
      <c r="F55" s="6">
        <f t="shared" si="6"/>
        <v>794</v>
      </c>
      <c r="G55" s="6" t="str">
        <f t="shared" si="7"/>
        <v>high</v>
      </c>
      <c r="H55">
        <v>0</v>
      </c>
      <c r="I55">
        <f t="shared" si="8"/>
        <v>0</v>
      </c>
      <c r="J55" t="s">
        <v>328</v>
      </c>
      <c r="K55" t="str">
        <f t="shared" si="9"/>
        <v>Not Provided</v>
      </c>
    </row>
    <row r="56" spans="1:11" x14ac:dyDescent="0.35">
      <c r="A56" t="s">
        <v>209</v>
      </c>
      <c r="B56" s="6">
        <v>1000</v>
      </c>
      <c r="C56" s="6">
        <v>2000</v>
      </c>
      <c r="D56" s="4">
        <f t="shared" si="5"/>
        <v>0.5</v>
      </c>
      <c r="E56" s="1">
        <v>0.5</v>
      </c>
      <c r="F56" s="6">
        <f t="shared" si="6"/>
        <v>1000</v>
      </c>
      <c r="G56" s="6" t="str">
        <f t="shared" si="7"/>
        <v>high</v>
      </c>
      <c r="H56">
        <v>-7</v>
      </c>
      <c r="I56">
        <f t="shared" si="8"/>
        <v>7</v>
      </c>
      <c r="J56">
        <v>2.2999999999999998</v>
      </c>
      <c r="K56" t="str">
        <f t="shared" si="9"/>
        <v>Poor</v>
      </c>
    </row>
    <row r="57" spans="1:11" x14ac:dyDescent="0.35">
      <c r="A57" t="s">
        <v>143</v>
      </c>
      <c r="B57" s="6">
        <v>999</v>
      </c>
      <c r="C57" s="6">
        <v>2000</v>
      </c>
      <c r="D57" s="4">
        <f t="shared" si="5"/>
        <v>0.50049999999999994</v>
      </c>
      <c r="E57" s="1">
        <v>0.5</v>
      </c>
      <c r="F57" s="6">
        <f t="shared" si="6"/>
        <v>1001</v>
      </c>
      <c r="G57" s="6" t="str">
        <f t="shared" si="7"/>
        <v>high</v>
      </c>
      <c r="H57">
        <v>0</v>
      </c>
      <c r="I57">
        <f t="shared" si="8"/>
        <v>0</v>
      </c>
      <c r="J57" t="s">
        <v>328</v>
      </c>
      <c r="K57" t="str">
        <f t="shared" si="9"/>
        <v>Not Provided</v>
      </c>
    </row>
    <row r="58" spans="1:11" x14ac:dyDescent="0.35">
      <c r="A58" t="s">
        <v>68</v>
      </c>
      <c r="B58" s="6">
        <v>998</v>
      </c>
      <c r="C58" s="6">
        <v>1966</v>
      </c>
      <c r="D58" s="4">
        <f t="shared" si="5"/>
        <v>0.49237029501525942</v>
      </c>
      <c r="E58" s="1">
        <v>0.49</v>
      </c>
      <c r="F58" s="6">
        <f t="shared" si="6"/>
        <v>968</v>
      </c>
      <c r="G58" s="6" t="str">
        <f t="shared" si="7"/>
        <v>high</v>
      </c>
      <c r="H58">
        <v>-44</v>
      </c>
      <c r="I58">
        <f t="shared" si="8"/>
        <v>44</v>
      </c>
      <c r="J58">
        <v>4.5999999999999996</v>
      </c>
      <c r="K58" t="str">
        <f t="shared" si="9"/>
        <v>Excellent</v>
      </c>
    </row>
    <row r="59" spans="1:11" x14ac:dyDescent="0.35">
      <c r="A59" t="s">
        <v>44</v>
      </c>
      <c r="B59" s="6">
        <v>990</v>
      </c>
      <c r="C59" s="6">
        <v>1500</v>
      </c>
      <c r="D59" s="4">
        <f t="shared" si="5"/>
        <v>0.34</v>
      </c>
      <c r="E59" s="1">
        <v>0.34</v>
      </c>
      <c r="F59" s="6">
        <f t="shared" si="6"/>
        <v>510</v>
      </c>
      <c r="G59" s="6" t="str">
        <f t="shared" si="7"/>
        <v>Medium</v>
      </c>
      <c r="H59">
        <v>-39</v>
      </c>
      <c r="I59">
        <f t="shared" si="8"/>
        <v>39</v>
      </c>
      <c r="J59">
        <v>4.7</v>
      </c>
      <c r="K59" t="str">
        <f t="shared" si="9"/>
        <v>Excellent</v>
      </c>
    </row>
    <row r="60" spans="1:11" x14ac:dyDescent="0.35">
      <c r="A60" t="s">
        <v>206</v>
      </c>
      <c r="B60" s="6">
        <v>990</v>
      </c>
      <c r="C60" s="6">
        <v>1814</v>
      </c>
      <c r="D60" s="4">
        <f t="shared" si="5"/>
        <v>0.45424476295479604</v>
      </c>
      <c r="E60" s="1">
        <v>0.45</v>
      </c>
      <c r="F60" s="6">
        <f t="shared" si="6"/>
        <v>824</v>
      </c>
      <c r="G60" s="6" t="str">
        <f t="shared" si="7"/>
        <v>high</v>
      </c>
      <c r="H60">
        <v>-6</v>
      </c>
      <c r="I60">
        <f t="shared" si="8"/>
        <v>6</v>
      </c>
      <c r="J60">
        <v>2.2000000000000002</v>
      </c>
      <c r="K60" t="str">
        <f t="shared" si="9"/>
        <v>Poor</v>
      </c>
    </row>
    <row r="61" spans="1:11" x14ac:dyDescent="0.35">
      <c r="A61" t="s">
        <v>33</v>
      </c>
      <c r="B61" s="6">
        <v>988</v>
      </c>
      <c r="C61" s="6">
        <v>1580</v>
      </c>
      <c r="D61" s="4">
        <f t="shared" si="5"/>
        <v>0.37468354430379747</v>
      </c>
      <c r="E61" s="1">
        <v>0.37</v>
      </c>
      <c r="F61" s="6">
        <f t="shared" si="6"/>
        <v>592</v>
      </c>
      <c r="G61" s="6" t="str">
        <f t="shared" si="7"/>
        <v>Medium</v>
      </c>
      <c r="H61">
        <v>-2</v>
      </c>
      <c r="I61">
        <f t="shared" si="8"/>
        <v>2</v>
      </c>
      <c r="J61">
        <v>4</v>
      </c>
      <c r="K61" t="str">
        <f t="shared" si="9"/>
        <v>Average</v>
      </c>
    </row>
    <row r="62" spans="1:11" x14ac:dyDescent="0.35">
      <c r="A62" t="s">
        <v>105</v>
      </c>
      <c r="B62" s="6">
        <v>980</v>
      </c>
      <c r="C62" s="6">
        <v>1490</v>
      </c>
      <c r="D62" s="4">
        <f t="shared" si="5"/>
        <v>0.34228187919463088</v>
      </c>
      <c r="E62" s="1">
        <v>0.34</v>
      </c>
      <c r="F62" s="6">
        <f t="shared" si="6"/>
        <v>510</v>
      </c>
      <c r="G62" s="6" t="str">
        <f t="shared" si="7"/>
        <v>Medium</v>
      </c>
      <c r="H62">
        <v>-12</v>
      </c>
      <c r="I62">
        <f t="shared" si="8"/>
        <v>12</v>
      </c>
      <c r="J62">
        <v>4.7</v>
      </c>
      <c r="K62" t="str">
        <f t="shared" si="9"/>
        <v>Excellent</v>
      </c>
    </row>
    <row r="63" spans="1:11" x14ac:dyDescent="0.35">
      <c r="A63" t="s">
        <v>245</v>
      </c>
      <c r="B63" s="6">
        <v>979</v>
      </c>
      <c r="C63" s="6">
        <v>1920</v>
      </c>
      <c r="D63" s="4">
        <f t="shared" si="5"/>
        <v>0.49010416666666667</v>
      </c>
      <c r="E63" s="1">
        <v>0.49</v>
      </c>
      <c r="F63" s="6">
        <f t="shared" si="6"/>
        <v>941</v>
      </c>
      <c r="G63" s="6" t="str">
        <f t="shared" si="7"/>
        <v>high</v>
      </c>
      <c r="H63">
        <v>-1</v>
      </c>
      <c r="I63">
        <f t="shared" si="8"/>
        <v>1</v>
      </c>
      <c r="J63">
        <v>5</v>
      </c>
      <c r="K63" t="str">
        <f t="shared" si="9"/>
        <v>Excellent</v>
      </c>
    </row>
    <row r="64" spans="1:11" x14ac:dyDescent="0.35">
      <c r="A64" t="s">
        <v>227</v>
      </c>
      <c r="B64" s="6">
        <v>968</v>
      </c>
      <c r="C64" s="6">
        <v>1814</v>
      </c>
      <c r="D64" s="4">
        <f t="shared" si="5"/>
        <v>0.46637265711135611</v>
      </c>
      <c r="E64" s="1">
        <v>0.47</v>
      </c>
      <c r="F64" s="6">
        <f t="shared" si="6"/>
        <v>846</v>
      </c>
      <c r="G64" s="6" t="str">
        <f t="shared" si="7"/>
        <v>high</v>
      </c>
      <c r="H64">
        <v>-6</v>
      </c>
      <c r="I64">
        <f t="shared" si="8"/>
        <v>6</v>
      </c>
      <c r="J64">
        <v>2.2000000000000002</v>
      </c>
      <c r="K64" t="str">
        <f t="shared" si="9"/>
        <v>Poor</v>
      </c>
    </row>
    <row r="65" spans="1:11" x14ac:dyDescent="0.35">
      <c r="A65" t="s">
        <v>6</v>
      </c>
      <c r="B65" s="6">
        <v>950</v>
      </c>
      <c r="C65" s="6">
        <v>1525</v>
      </c>
      <c r="D65" s="4">
        <f t="shared" si="5"/>
        <v>0.37704918032786883</v>
      </c>
      <c r="E65" s="1">
        <v>0.38</v>
      </c>
      <c r="F65" s="6">
        <f t="shared" si="6"/>
        <v>575</v>
      </c>
      <c r="G65" s="6" t="str">
        <f t="shared" si="7"/>
        <v>Medium</v>
      </c>
      <c r="H65">
        <v>-2</v>
      </c>
      <c r="I65">
        <f t="shared" si="8"/>
        <v>2</v>
      </c>
      <c r="J65">
        <v>4.5</v>
      </c>
      <c r="K65" t="str">
        <f t="shared" si="9"/>
        <v>Excellent</v>
      </c>
    </row>
    <row r="66" spans="1:11" x14ac:dyDescent="0.35">
      <c r="A66" t="s">
        <v>277</v>
      </c>
      <c r="B66" s="6">
        <v>899</v>
      </c>
      <c r="C66" s="6">
        <v>1699</v>
      </c>
      <c r="D66" s="4">
        <f t="shared" ref="D66:D97" si="10">(C66-B66)/C66</f>
        <v>0.47086521483225424</v>
      </c>
      <c r="E66" s="1">
        <v>0.47</v>
      </c>
      <c r="F66" s="6">
        <f t="shared" ref="F66:F97" si="11">C66-B66</f>
        <v>800</v>
      </c>
      <c r="G66" s="6" t="str">
        <f t="shared" ref="G66:G97" si="12">IF(D66&lt;20%, "Low", IF(D66&lt;=40%, "Medium","high"))</f>
        <v>high</v>
      </c>
      <c r="H66">
        <v>0</v>
      </c>
      <c r="I66">
        <f t="shared" ref="I66:I97" si="13">IF(H66&lt;0,-H66,H66)</f>
        <v>0</v>
      </c>
      <c r="J66" t="s">
        <v>328</v>
      </c>
      <c r="K66" t="str">
        <f t="shared" ref="K66:K97" si="14">IF(J66="Not Provided", "Not Provided", IF(J66&lt;3, "Poor", IF(J66&lt;=4.4, "Average","Excellent")))</f>
        <v>Not Provided</v>
      </c>
    </row>
    <row r="67" spans="1:11" x14ac:dyDescent="0.35">
      <c r="A67" t="s">
        <v>78</v>
      </c>
      <c r="B67" s="6">
        <v>880</v>
      </c>
      <c r="C67" s="6">
        <v>1350</v>
      </c>
      <c r="D67" s="4">
        <f t="shared" si="10"/>
        <v>0.34814814814814815</v>
      </c>
      <c r="E67" s="1">
        <v>0.35</v>
      </c>
      <c r="F67" s="6">
        <f t="shared" si="11"/>
        <v>470</v>
      </c>
      <c r="G67" s="6" t="str">
        <f t="shared" si="12"/>
        <v>Medium</v>
      </c>
      <c r="H67">
        <v>-6</v>
      </c>
      <c r="I67">
        <f t="shared" si="13"/>
        <v>6</v>
      </c>
      <c r="J67">
        <v>4</v>
      </c>
      <c r="K67" t="str">
        <f t="shared" si="14"/>
        <v>Average</v>
      </c>
    </row>
    <row r="68" spans="1:11" x14ac:dyDescent="0.35">
      <c r="A68" t="s">
        <v>269</v>
      </c>
      <c r="B68" s="6">
        <v>850</v>
      </c>
      <c r="C68" s="6">
        <v>1700</v>
      </c>
      <c r="D68" s="4">
        <f t="shared" si="10"/>
        <v>0.5</v>
      </c>
      <c r="E68" s="1">
        <v>0.5</v>
      </c>
      <c r="F68" s="6">
        <f t="shared" si="11"/>
        <v>850</v>
      </c>
      <c r="G68" s="6" t="str">
        <f t="shared" si="12"/>
        <v>high</v>
      </c>
      <c r="H68">
        <v>0</v>
      </c>
      <c r="I68">
        <f t="shared" si="13"/>
        <v>0</v>
      </c>
      <c r="J68" t="s">
        <v>328</v>
      </c>
      <c r="K68" t="str">
        <f t="shared" si="14"/>
        <v>Not Provided</v>
      </c>
    </row>
    <row r="69" spans="1:11" x14ac:dyDescent="0.35">
      <c r="A69" t="s">
        <v>42</v>
      </c>
      <c r="B69" s="6">
        <v>799</v>
      </c>
      <c r="C69" s="6">
        <v>999</v>
      </c>
      <c r="D69" s="4">
        <f t="shared" si="10"/>
        <v>0.20020020020020021</v>
      </c>
      <c r="E69" s="1">
        <v>0.2</v>
      </c>
      <c r="F69" s="6">
        <f t="shared" si="11"/>
        <v>200</v>
      </c>
      <c r="G69" s="6" t="str">
        <f t="shared" si="12"/>
        <v>Medium</v>
      </c>
      <c r="H69">
        <v>-12</v>
      </c>
      <c r="I69">
        <f t="shared" si="13"/>
        <v>12</v>
      </c>
      <c r="J69">
        <v>4.0999999999999996</v>
      </c>
      <c r="K69" t="str">
        <f t="shared" si="14"/>
        <v>Average</v>
      </c>
    </row>
    <row r="70" spans="1:11" x14ac:dyDescent="0.35">
      <c r="A70" t="s">
        <v>168</v>
      </c>
      <c r="B70" s="6">
        <v>799</v>
      </c>
      <c r="C70" s="6">
        <v>1343</v>
      </c>
      <c r="D70" s="4">
        <f t="shared" si="10"/>
        <v>0.4050632911392405</v>
      </c>
      <c r="E70" s="1">
        <v>0.41</v>
      </c>
      <c r="F70" s="6">
        <f t="shared" si="11"/>
        <v>544</v>
      </c>
      <c r="G70" s="6" t="str">
        <f t="shared" si="12"/>
        <v>high</v>
      </c>
      <c r="H70">
        <v>0</v>
      </c>
      <c r="I70">
        <f t="shared" si="13"/>
        <v>0</v>
      </c>
      <c r="J70" t="s">
        <v>328</v>
      </c>
      <c r="K70" t="str">
        <f t="shared" si="14"/>
        <v>Not Provided</v>
      </c>
    </row>
    <row r="71" spans="1:11" x14ac:dyDescent="0.35">
      <c r="A71" t="s">
        <v>175</v>
      </c>
      <c r="B71" s="6">
        <v>799</v>
      </c>
      <c r="C71" s="6">
        <v>1567</v>
      </c>
      <c r="D71" s="4">
        <f t="shared" si="10"/>
        <v>0.49010848755583919</v>
      </c>
      <c r="E71" s="1">
        <v>0.49</v>
      </c>
      <c r="F71" s="6">
        <f t="shared" si="11"/>
        <v>768</v>
      </c>
      <c r="G71" s="6" t="str">
        <f t="shared" si="12"/>
        <v>high</v>
      </c>
      <c r="H71">
        <v>0</v>
      </c>
      <c r="I71">
        <f t="shared" si="13"/>
        <v>0</v>
      </c>
      <c r="J71" t="s">
        <v>328</v>
      </c>
      <c r="K71" t="str">
        <f t="shared" si="14"/>
        <v>Not Provided</v>
      </c>
    </row>
    <row r="72" spans="1:11" x14ac:dyDescent="0.35">
      <c r="A72" t="s">
        <v>261</v>
      </c>
      <c r="B72" s="6">
        <v>799</v>
      </c>
      <c r="C72" s="6">
        <v>900</v>
      </c>
      <c r="D72" s="4">
        <f t="shared" si="10"/>
        <v>0.11222222222222222</v>
      </c>
      <c r="E72" s="1">
        <v>0.11</v>
      </c>
      <c r="F72" s="6">
        <f t="shared" si="11"/>
        <v>101</v>
      </c>
      <c r="G72" s="6" t="str">
        <f t="shared" si="12"/>
        <v>Low</v>
      </c>
      <c r="H72">
        <v>0</v>
      </c>
      <c r="I72">
        <f t="shared" si="13"/>
        <v>0</v>
      </c>
      <c r="J72" t="s">
        <v>328</v>
      </c>
      <c r="K72" t="str">
        <f t="shared" si="14"/>
        <v>Not Provided</v>
      </c>
    </row>
    <row r="73" spans="1:11" x14ac:dyDescent="0.35">
      <c r="A73" t="s">
        <v>232</v>
      </c>
      <c r="B73" s="6">
        <v>790</v>
      </c>
      <c r="C73" s="6">
        <v>1485</v>
      </c>
      <c r="D73" s="4">
        <f t="shared" si="10"/>
        <v>0.46801346801346799</v>
      </c>
      <c r="E73" s="1">
        <v>0.47</v>
      </c>
      <c r="F73" s="6">
        <f t="shared" si="11"/>
        <v>695</v>
      </c>
      <c r="G73" s="6" t="str">
        <f t="shared" si="12"/>
        <v>high</v>
      </c>
      <c r="H73">
        <v>0</v>
      </c>
      <c r="I73">
        <f t="shared" si="13"/>
        <v>0</v>
      </c>
      <c r="J73" t="s">
        <v>328</v>
      </c>
      <c r="K73" t="str">
        <f t="shared" si="14"/>
        <v>Not Provided</v>
      </c>
    </row>
    <row r="74" spans="1:11" x14ac:dyDescent="0.35">
      <c r="A74" t="s">
        <v>173</v>
      </c>
      <c r="B74" s="6">
        <v>699</v>
      </c>
      <c r="C74" s="6">
        <v>1343</v>
      </c>
      <c r="D74" s="4">
        <f t="shared" si="10"/>
        <v>0.47952345495160087</v>
      </c>
      <c r="E74" s="1">
        <v>0.48</v>
      </c>
      <c r="F74" s="6">
        <f t="shared" si="11"/>
        <v>644</v>
      </c>
      <c r="G74" s="6" t="str">
        <f t="shared" si="12"/>
        <v>high</v>
      </c>
      <c r="H74">
        <v>0</v>
      </c>
      <c r="I74">
        <f t="shared" si="13"/>
        <v>0</v>
      </c>
      <c r="J74" t="s">
        <v>328</v>
      </c>
      <c r="K74" t="str">
        <f t="shared" si="14"/>
        <v>Not Provided</v>
      </c>
    </row>
    <row r="75" spans="1:11" x14ac:dyDescent="0.35">
      <c r="A75" t="s">
        <v>235</v>
      </c>
      <c r="B75" s="6">
        <v>690</v>
      </c>
      <c r="C75" s="6">
        <v>1200</v>
      </c>
      <c r="D75" s="4">
        <f t="shared" si="10"/>
        <v>0.42499999999999999</v>
      </c>
      <c r="E75" s="1">
        <v>0.43</v>
      </c>
      <c r="F75" s="6">
        <f t="shared" si="11"/>
        <v>510</v>
      </c>
      <c r="G75" s="6" t="str">
        <f t="shared" si="12"/>
        <v>high</v>
      </c>
      <c r="H75">
        <v>0</v>
      </c>
      <c r="I75">
        <f t="shared" si="13"/>
        <v>0</v>
      </c>
      <c r="J75" t="s">
        <v>328</v>
      </c>
      <c r="K75" t="str">
        <f t="shared" si="14"/>
        <v>Not Provided</v>
      </c>
    </row>
    <row r="76" spans="1:11" x14ac:dyDescent="0.35">
      <c r="A76" t="s">
        <v>148</v>
      </c>
      <c r="B76" s="6">
        <v>671</v>
      </c>
      <c r="C76" s="6">
        <v>1316</v>
      </c>
      <c r="D76" s="4">
        <f t="shared" si="10"/>
        <v>0.49012158054711247</v>
      </c>
      <c r="E76" s="1">
        <v>0.49</v>
      </c>
      <c r="F76" s="6">
        <f t="shared" si="11"/>
        <v>645</v>
      </c>
      <c r="G76" s="6" t="str">
        <f t="shared" si="12"/>
        <v>high</v>
      </c>
      <c r="H76">
        <v>0</v>
      </c>
      <c r="I76">
        <f t="shared" si="13"/>
        <v>0</v>
      </c>
      <c r="J76" t="s">
        <v>328</v>
      </c>
      <c r="K76" t="str">
        <f t="shared" si="14"/>
        <v>Not Provided</v>
      </c>
    </row>
    <row r="77" spans="1:11" x14ac:dyDescent="0.35">
      <c r="A77" t="s">
        <v>266</v>
      </c>
      <c r="B77" s="6">
        <v>630</v>
      </c>
      <c r="C77" s="6">
        <v>1100</v>
      </c>
      <c r="D77" s="4">
        <f t="shared" si="10"/>
        <v>0.42727272727272725</v>
      </c>
      <c r="E77" s="1">
        <v>0.43</v>
      </c>
      <c r="F77" s="6">
        <f t="shared" si="11"/>
        <v>470</v>
      </c>
      <c r="G77" s="6" t="str">
        <f t="shared" si="12"/>
        <v>high</v>
      </c>
      <c r="H77">
        <v>0</v>
      </c>
      <c r="I77">
        <f t="shared" si="13"/>
        <v>0</v>
      </c>
      <c r="J77" t="s">
        <v>328</v>
      </c>
      <c r="K77" t="str">
        <f t="shared" si="14"/>
        <v>Not Provided</v>
      </c>
    </row>
    <row r="78" spans="1:11" x14ac:dyDescent="0.35">
      <c r="A78" t="s">
        <v>137</v>
      </c>
      <c r="B78" s="6">
        <v>610</v>
      </c>
      <c r="C78" s="6">
        <v>1060</v>
      </c>
      <c r="D78" s="4">
        <f t="shared" si="10"/>
        <v>0.42452830188679247</v>
      </c>
      <c r="E78" s="1">
        <v>0.42</v>
      </c>
      <c r="F78" s="6">
        <f t="shared" si="11"/>
        <v>450</v>
      </c>
      <c r="G78" s="6" t="str">
        <f t="shared" si="12"/>
        <v>high</v>
      </c>
      <c r="H78">
        <v>0</v>
      </c>
      <c r="I78">
        <f t="shared" si="13"/>
        <v>0</v>
      </c>
      <c r="J78" t="s">
        <v>328</v>
      </c>
      <c r="K78" t="str">
        <f t="shared" si="14"/>
        <v>Not Provided</v>
      </c>
    </row>
    <row r="79" spans="1:11" x14ac:dyDescent="0.35">
      <c r="A79" t="s">
        <v>47</v>
      </c>
      <c r="B79" s="6">
        <v>552</v>
      </c>
      <c r="C79" s="6">
        <v>1035</v>
      </c>
      <c r="D79" s="4">
        <f t="shared" si="10"/>
        <v>0.46666666666666667</v>
      </c>
      <c r="E79" s="1">
        <v>0.47</v>
      </c>
      <c r="F79" s="6">
        <f t="shared" si="11"/>
        <v>483</v>
      </c>
      <c r="G79" s="6" t="str">
        <f t="shared" si="12"/>
        <v>high</v>
      </c>
      <c r="H79">
        <v>-12</v>
      </c>
      <c r="I79">
        <f t="shared" si="13"/>
        <v>12</v>
      </c>
      <c r="J79">
        <v>4.8</v>
      </c>
      <c r="K79" t="str">
        <f t="shared" si="14"/>
        <v>Excellent</v>
      </c>
    </row>
    <row r="80" spans="1:11" x14ac:dyDescent="0.35">
      <c r="A80" t="s">
        <v>10</v>
      </c>
      <c r="B80" s="6">
        <v>527</v>
      </c>
      <c r="C80" s="6">
        <v>999</v>
      </c>
      <c r="D80" s="4">
        <f t="shared" si="10"/>
        <v>0.47247247247247248</v>
      </c>
      <c r="E80" s="1">
        <v>0.47</v>
      </c>
      <c r="F80" s="6">
        <f t="shared" si="11"/>
        <v>472</v>
      </c>
      <c r="G80" s="6" t="str">
        <f t="shared" si="12"/>
        <v>high</v>
      </c>
      <c r="H80">
        <v>-14</v>
      </c>
      <c r="I80">
        <f t="shared" si="13"/>
        <v>14</v>
      </c>
      <c r="J80">
        <v>4.0999999999999996</v>
      </c>
      <c r="K80" t="str">
        <f t="shared" si="14"/>
        <v>Average</v>
      </c>
    </row>
    <row r="81" spans="1:11" x14ac:dyDescent="0.35">
      <c r="A81" t="s">
        <v>289</v>
      </c>
      <c r="B81" s="6">
        <v>525</v>
      </c>
      <c r="C81" s="6">
        <v>1029</v>
      </c>
      <c r="D81" s="4">
        <f t="shared" si="10"/>
        <v>0.48979591836734693</v>
      </c>
      <c r="E81" s="1">
        <v>0.49</v>
      </c>
      <c r="F81" s="6">
        <f t="shared" si="11"/>
        <v>504</v>
      </c>
      <c r="G81" s="6" t="str">
        <f t="shared" si="12"/>
        <v>high</v>
      </c>
      <c r="H81">
        <v>0</v>
      </c>
      <c r="I81">
        <f t="shared" si="13"/>
        <v>0</v>
      </c>
      <c r="J81" t="s">
        <v>328</v>
      </c>
      <c r="K81" t="str">
        <f t="shared" si="14"/>
        <v>Not Provided</v>
      </c>
    </row>
    <row r="82" spans="1:11" x14ac:dyDescent="0.35">
      <c r="A82" t="s">
        <v>224</v>
      </c>
      <c r="B82" s="6">
        <v>509</v>
      </c>
      <c r="C82" s="6">
        <v>899</v>
      </c>
      <c r="D82" s="4">
        <f t="shared" si="10"/>
        <v>0.43381535038932145</v>
      </c>
      <c r="E82" s="1">
        <v>0.43</v>
      </c>
      <c r="F82" s="6">
        <f t="shared" si="11"/>
        <v>390</v>
      </c>
      <c r="G82" s="6" t="str">
        <f t="shared" si="12"/>
        <v>high</v>
      </c>
      <c r="H82">
        <v>-5</v>
      </c>
      <c r="I82">
        <f t="shared" si="13"/>
        <v>5</v>
      </c>
      <c r="J82">
        <v>3</v>
      </c>
      <c r="K82" t="str">
        <f t="shared" si="14"/>
        <v>Average</v>
      </c>
    </row>
    <row r="83" spans="1:11" x14ac:dyDescent="0.35">
      <c r="A83" t="s">
        <v>50</v>
      </c>
      <c r="B83" s="6">
        <v>501</v>
      </c>
      <c r="C83" s="6">
        <v>860</v>
      </c>
      <c r="D83" s="4">
        <f t="shared" si="10"/>
        <v>0.41744186046511628</v>
      </c>
      <c r="E83" s="1">
        <v>0.42</v>
      </c>
      <c r="F83" s="6">
        <f t="shared" si="11"/>
        <v>359</v>
      </c>
      <c r="G83" s="6" t="str">
        <f t="shared" si="12"/>
        <v>high</v>
      </c>
      <c r="H83">
        <v>-6</v>
      </c>
      <c r="I83">
        <f t="shared" si="13"/>
        <v>6</v>
      </c>
      <c r="J83">
        <v>4.5</v>
      </c>
      <c r="K83" t="str">
        <f t="shared" si="14"/>
        <v>Excellent</v>
      </c>
    </row>
    <row r="84" spans="1:11" x14ac:dyDescent="0.35">
      <c r="A84" t="s">
        <v>170</v>
      </c>
      <c r="B84" s="6">
        <v>499</v>
      </c>
      <c r="C84" s="6">
        <v>900</v>
      </c>
      <c r="D84" s="4">
        <f t="shared" si="10"/>
        <v>0.44555555555555554</v>
      </c>
      <c r="E84" s="1">
        <v>0.45</v>
      </c>
      <c r="F84" s="6">
        <f t="shared" si="11"/>
        <v>401</v>
      </c>
      <c r="G84" s="6" t="str">
        <f t="shared" si="12"/>
        <v>high</v>
      </c>
      <c r="H84">
        <v>0</v>
      </c>
      <c r="I84">
        <f t="shared" si="13"/>
        <v>0</v>
      </c>
      <c r="J84" t="s">
        <v>328</v>
      </c>
      <c r="K84" t="str">
        <f t="shared" si="14"/>
        <v>Not Provided</v>
      </c>
    </row>
    <row r="85" spans="1:11" x14ac:dyDescent="0.35">
      <c r="A85" t="s">
        <v>131</v>
      </c>
      <c r="B85" s="6">
        <v>475</v>
      </c>
      <c r="C85" s="6">
        <v>931</v>
      </c>
      <c r="D85" s="4">
        <f t="shared" si="10"/>
        <v>0.48979591836734693</v>
      </c>
      <c r="E85" s="1">
        <v>0.49</v>
      </c>
      <c r="F85" s="6">
        <f t="shared" si="11"/>
        <v>456</v>
      </c>
      <c r="G85" s="6" t="str">
        <f t="shared" si="12"/>
        <v>high</v>
      </c>
      <c r="H85">
        <v>0</v>
      </c>
      <c r="I85">
        <f t="shared" si="13"/>
        <v>0</v>
      </c>
      <c r="J85" t="s">
        <v>328</v>
      </c>
      <c r="K85" t="str">
        <f t="shared" si="14"/>
        <v>Not Provided</v>
      </c>
    </row>
    <row r="86" spans="1:11" x14ac:dyDescent="0.35">
      <c r="A86" t="s">
        <v>186</v>
      </c>
      <c r="B86" s="6">
        <v>458</v>
      </c>
      <c r="C86" s="6">
        <v>986</v>
      </c>
      <c r="D86" s="4">
        <f t="shared" si="10"/>
        <v>0.53549695740365111</v>
      </c>
      <c r="E86" s="1">
        <v>0.54</v>
      </c>
      <c r="F86" s="6">
        <f t="shared" si="11"/>
        <v>528</v>
      </c>
      <c r="G86" s="6" t="str">
        <f t="shared" si="12"/>
        <v>high</v>
      </c>
      <c r="H86">
        <v>-10</v>
      </c>
      <c r="I86">
        <f t="shared" si="13"/>
        <v>10</v>
      </c>
      <c r="J86">
        <v>3</v>
      </c>
      <c r="K86" t="str">
        <f t="shared" si="14"/>
        <v>Average</v>
      </c>
    </row>
    <row r="87" spans="1:11" x14ac:dyDescent="0.35">
      <c r="A87" t="s">
        <v>318</v>
      </c>
      <c r="B87" s="6">
        <v>450</v>
      </c>
      <c r="C87" s="6">
        <v>900</v>
      </c>
      <c r="D87" s="4">
        <f t="shared" si="10"/>
        <v>0.5</v>
      </c>
      <c r="E87" s="1">
        <v>0.5</v>
      </c>
      <c r="F87" s="6">
        <f t="shared" si="11"/>
        <v>450</v>
      </c>
      <c r="G87" s="6" t="str">
        <f t="shared" si="12"/>
        <v>high</v>
      </c>
      <c r="H87">
        <v>-1</v>
      </c>
      <c r="I87">
        <f t="shared" si="13"/>
        <v>1</v>
      </c>
      <c r="J87">
        <v>2</v>
      </c>
      <c r="K87" t="str">
        <f t="shared" si="14"/>
        <v>Poor</v>
      </c>
    </row>
    <row r="88" spans="1:11" x14ac:dyDescent="0.35">
      <c r="A88" t="s">
        <v>194</v>
      </c>
      <c r="B88" s="6">
        <v>445</v>
      </c>
      <c r="C88" s="6">
        <v>873</v>
      </c>
      <c r="D88" s="4">
        <f t="shared" si="10"/>
        <v>0.49026345933562426</v>
      </c>
      <c r="E88" s="1">
        <v>0.49</v>
      </c>
      <c r="F88" s="6">
        <f t="shared" si="11"/>
        <v>428</v>
      </c>
      <c r="G88" s="6" t="str">
        <f t="shared" si="12"/>
        <v>high</v>
      </c>
      <c r="H88">
        <v>-69</v>
      </c>
      <c r="I88">
        <f t="shared" si="13"/>
        <v>69</v>
      </c>
      <c r="J88">
        <v>2.8</v>
      </c>
      <c r="K88" t="str">
        <f t="shared" si="14"/>
        <v>Poor</v>
      </c>
    </row>
    <row r="89" spans="1:11" x14ac:dyDescent="0.35">
      <c r="A89" t="s">
        <v>89</v>
      </c>
      <c r="B89" s="6">
        <v>420</v>
      </c>
      <c r="C89" s="6">
        <v>647</v>
      </c>
      <c r="D89" s="4">
        <f t="shared" si="10"/>
        <v>0.3508500772797527</v>
      </c>
      <c r="E89" s="1">
        <v>0.35</v>
      </c>
      <c r="F89" s="6">
        <f t="shared" si="11"/>
        <v>227</v>
      </c>
      <c r="G89" s="6" t="str">
        <f t="shared" si="12"/>
        <v>Medium</v>
      </c>
      <c r="H89">
        <v>-49</v>
      </c>
      <c r="I89">
        <f t="shared" si="13"/>
        <v>49</v>
      </c>
      <c r="J89">
        <v>4.5999999999999996</v>
      </c>
      <c r="K89" t="str">
        <f t="shared" si="14"/>
        <v>Excellent</v>
      </c>
    </row>
    <row r="90" spans="1:11" x14ac:dyDescent="0.35">
      <c r="A90" t="s">
        <v>122</v>
      </c>
      <c r="B90" s="6">
        <v>389</v>
      </c>
      <c r="C90" s="6">
        <v>656</v>
      </c>
      <c r="D90" s="4">
        <f t="shared" si="10"/>
        <v>0.40701219512195119</v>
      </c>
      <c r="E90" s="1">
        <v>0.41</v>
      </c>
      <c r="F90" s="6">
        <f t="shared" si="11"/>
        <v>267</v>
      </c>
      <c r="G90" s="6" t="str">
        <f t="shared" si="12"/>
        <v>high</v>
      </c>
      <c r="H90">
        <v>-36</v>
      </c>
      <c r="I90">
        <f t="shared" si="13"/>
        <v>36</v>
      </c>
      <c r="J90">
        <v>4.3</v>
      </c>
      <c r="K90" t="str">
        <f t="shared" si="14"/>
        <v>Average</v>
      </c>
    </row>
    <row r="91" spans="1:11" x14ac:dyDescent="0.35">
      <c r="A91" t="s">
        <v>215</v>
      </c>
      <c r="B91" s="6">
        <v>382</v>
      </c>
      <c r="C91" s="6">
        <v>700</v>
      </c>
      <c r="D91" s="4">
        <f t="shared" si="10"/>
        <v>0.45428571428571429</v>
      </c>
      <c r="E91" s="1">
        <v>0.45</v>
      </c>
      <c r="F91" s="6">
        <f t="shared" si="11"/>
        <v>318</v>
      </c>
      <c r="G91" s="6" t="str">
        <f t="shared" si="12"/>
        <v>high</v>
      </c>
      <c r="H91">
        <v>-17</v>
      </c>
      <c r="I91">
        <f t="shared" si="13"/>
        <v>17</v>
      </c>
      <c r="J91">
        <v>2.6</v>
      </c>
      <c r="K91" t="str">
        <f t="shared" si="14"/>
        <v>Poor</v>
      </c>
    </row>
    <row r="92" spans="1:11" x14ac:dyDescent="0.35">
      <c r="A92" t="s">
        <v>221</v>
      </c>
      <c r="B92" s="6">
        <v>345</v>
      </c>
      <c r="C92" s="6">
        <v>602</v>
      </c>
      <c r="D92" s="4">
        <f t="shared" si="10"/>
        <v>0.42691029900332228</v>
      </c>
      <c r="E92" s="1">
        <v>0.43</v>
      </c>
      <c r="F92" s="6">
        <f t="shared" si="11"/>
        <v>257</v>
      </c>
      <c r="G92" s="6" t="str">
        <f t="shared" si="12"/>
        <v>high</v>
      </c>
      <c r="H92">
        <v>-6</v>
      </c>
      <c r="I92">
        <f t="shared" si="13"/>
        <v>6</v>
      </c>
      <c r="J92">
        <v>2.2999999999999998</v>
      </c>
      <c r="K92" t="str">
        <f t="shared" si="14"/>
        <v>Poor</v>
      </c>
    </row>
    <row r="93" spans="1:11" x14ac:dyDescent="0.35">
      <c r="A93" t="s">
        <v>56</v>
      </c>
      <c r="B93" s="6">
        <v>332</v>
      </c>
      <c r="C93" s="6">
        <v>684</v>
      </c>
      <c r="D93" s="4">
        <f t="shared" si="10"/>
        <v>0.51461988304093564</v>
      </c>
      <c r="E93" s="1">
        <v>0.51</v>
      </c>
      <c r="F93" s="6">
        <f t="shared" si="11"/>
        <v>352</v>
      </c>
      <c r="G93" s="6" t="str">
        <f t="shared" si="12"/>
        <v>high</v>
      </c>
      <c r="H93">
        <v>-2</v>
      </c>
      <c r="I93">
        <f t="shared" si="13"/>
        <v>2</v>
      </c>
      <c r="J93">
        <v>5</v>
      </c>
      <c r="K93" t="str">
        <f t="shared" si="14"/>
        <v>Excellent</v>
      </c>
    </row>
    <row r="94" spans="1:11" x14ac:dyDescent="0.35">
      <c r="A94" t="s">
        <v>253</v>
      </c>
      <c r="B94" s="6">
        <v>330</v>
      </c>
      <c r="C94" s="6">
        <v>647</v>
      </c>
      <c r="D94" s="4">
        <f t="shared" si="10"/>
        <v>0.48995363214837712</v>
      </c>
      <c r="E94" s="1">
        <v>0.49</v>
      </c>
      <c r="F94" s="6">
        <f t="shared" si="11"/>
        <v>317</v>
      </c>
      <c r="G94" s="6" t="str">
        <f t="shared" si="12"/>
        <v>high</v>
      </c>
      <c r="H94">
        <v>-1</v>
      </c>
      <c r="I94">
        <f t="shared" si="13"/>
        <v>1</v>
      </c>
      <c r="J94">
        <v>4</v>
      </c>
      <c r="K94" t="str">
        <f t="shared" si="14"/>
        <v>Average</v>
      </c>
    </row>
    <row r="95" spans="1:11" x14ac:dyDescent="0.35">
      <c r="A95" t="s">
        <v>198</v>
      </c>
      <c r="B95" s="6">
        <v>325</v>
      </c>
      <c r="C95" s="6">
        <v>680</v>
      </c>
      <c r="D95" s="4">
        <f t="shared" si="10"/>
        <v>0.5220588235294118</v>
      </c>
      <c r="E95" s="1">
        <v>0.52</v>
      </c>
      <c r="F95" s="6">
        <f t="shared" si="11"/>
        <v>355</v>
      </c>
      <c r="G95" s="6" t="str">
        <f t="shared" si="12"/>
        <v>high</v>
      </c>
      <c r="H95">
        <v>-15</v>
      </c>
      <c r="I95">
        <f t="shared" si="13"/>
        <v>15</v>
      </c>
      <c r="J95">
        <v>2.7</v>
      </c>
      <c r="K95" t="str">
        <f t="shared" si="14"/>
        <v>Poor</v>
      </c>
    </row>
    <row r="96" spans="1:11" x14ac:dyDescent="0.35">
      <c r="A96" t="s">
        <v>157</v>
      </c>
      <c r="B96" s="6">
        <v>299</v>
      </c>
      <c r="C96" s="6">
        <v>600</v>
      </c>
      <c r="D96" s="4">
        <f t="shared" si="10"/>
        <v>0.50166666666666671</v>
      </c>
      <c r="E96" s="1">
        <v>0.5</v>
      </c>
      <c r="F96" s="6">
        <f t="shared" si="11"/>
        <v>301</v>
      </c>
      <c r="G96" s="6" t="str">
        <f t="shared" si="12"/>
        <v>high</v>
      </c>
      <c r="H96">
        <v>0</v>
      </c>
      <c r="I96">
        <f t="shared" si="13"/>
        <v>0</v>
      </c>
      <c r="J96" t="s">
        <v>328</v>
      </c>
      <c r="K96" t="str">
        <f t="shared" si="14"/>
        <v>Not Provided</v>
      </c>
    </row>
    <row r="97" spans="1:11" x14ac:dyDescent="0.35">
      <c r="A97" t="s">
        <v>163</v>
      </c>
      <c r="B97" s="6">
        <v>299</v>
      </c>
      <c r="C97" s="6">
        <v>384</v>
      </c>
      <c r="D97" s="4">
        <f t="shared" si="10"/>
        <v>0.22135416666666666</v>
      </c>
      <c r="E97" s="1">
        <v>0.22</v>
      </c>
      <c r="F97" s="6">
        <f t="shared" si="11"/>
        <v>85</v>
      </c>
      <c r="G97" s="6" t="str">
        <f t="shared" si="12"/>
        <v>Medium</v>
      </c>
      <c r="H97">
        <v>0</v>
      </c>
      <c r="I97">
        <f t="shared" si="13"/>
        <v>0</v>
      </c>
      <c r="J97" t="s">
        <v>328</v>
      </c>
      <c r="K97" t="str">
        <f t="shared" si="14"/>
        <v>Not Provided</v>
      </c>
    </row>
    <row r="98" spans="1:11" x14ac:dyDescent="0.35">
      <c r="A98" t="s">
        <v>258</v>
      </c>
      <c r="B98" s="6">
        <v>274</v>
      </c>
      <c r="C98" s="6">
        <v>537</v>
      </c>
      <c r="D98" s="4">
        <f t="shared" ref="D98:D129" si="15">(C98-B98)/C98</f>
        <v>0.48975791433891991</v>
      </c>
      <c r="E98" s="1">
        <v>0.49</v>
      </c>
      <c r="F98" s="6">
        <f t="shared" ref="F98:F110" si="16">C98-B98</f>
        <v>263</v>
      </c>
      <c r="G98" s="6" t="str">
        <f t="shared" ref="G98:G110" si="17">IF(D98&lt;20%, "Low", IF(D98&lt;=40%, "Medium","high"))</f>
        <v>high</v>
      </c>
      <c r="H98">
        <v>0</v>
      </c>
      <c r="I98">
        <f t="shared" ref="I98:I129" si="18">IF(H98&lt;0,-H98,H98)</f>
        <v>0</v>
      </c>
      <c r="J98" t="s">
        <v>328</v>
      </c>
      <c r="K98" t="str">
        <f t="shared" ref="K98:K129" si="19">IF(J98="Not Provided", "Not Provided", IF(J98&lt;3, "Poor", IF(J98&lt;=4.4, "Average","Excellent")))</f>
        <v>Not Provided</v>
      </c>
    </row>
    <row r="99" spans="1:11" x14ac:dyDescent="0.35">
      <c r="A99" t="s">
        <v>284</v>
      </c>
      <c r="B99" s="6">
        <v>248</v>
      </c>
      <c r="C99" s="6">
        <v>486</v>
      </c>
      <c r="D99" s="4">
        <f t="shared" si="15"/>
        <v>0.48971193415637859</v>
      </c>
      <c r="E99" s="1">
        <v>0.49</v>
      </c>
      <c r="F99" s="6">
        <f t="shared" si="16"/>
        <v>238</v>
      </c>
      <c r="G99" s="6" t="str">
        <f t="shared" si="17"/>
        <v>high</v>
      </c>
      <c r="H99">
        <v>0</v>
      </c>
      <c r="I99">
        <f t="shared" si="18"/>
        <v>0</v>
      </c>
      <c r="J99" t="s">
        <v>328</v>
      </c>
      <c r="K99" t="str">
        <f t="shared" si="19"/>
        <v>Not Provided</v>
      </c>
    </row>
    <row r="100" spans="1:11" x14ac:dyDescent="0.35">
      <c r="A100" t="s">
        <v>134</v>
      </c>
      <c r="B100" s="6">
        <v>238</v>
      </c>
      <c r="C100" s="6">
        <v>476</v>
      </c>
      <c r="D100" s="4">
        <f t="shared" si="15"/>
        <v>0.5</v>
      </c>
      <c r="E100" s="1">
        <v>0.5</v>
      </c>
      <c r="F100" s="6">
        <f t="shared" si="16"/>
        <v>238</v>
      </c>
      <c r="G100" s="6" t="str">
        <f t="shared" si="17"/>
        <v>high</v>
      </c>
      <c r="H100">
        <v>0</v>
      </c>
      <c r="I100">
        <f t="shared" si="18"/>
        <v>0</v>
      </c>
      <c r="J100" t="s">
        <v>328</v>
      </c>
      <c r="K100" t="str">
        <f t="shared" si="19"/>
        <v>Not Provided</v>
      </c>
    </row>
    <row r="101" spans="1:11" x14ac:dyDescent="0.35">
      <c r="A101" t="s">
        <v>240</v>
      </c>
      <c r="B101" s="6">
        <v>230</v>
      </c>
      <c r="C101" s="6">
        <v>450</v>
      </c>
      <c r="D101" s="4">
        <f t="shared" si="15"/>
        <v>0.48888888888888887</v>
      </c>
      <c r="E101" s="1">
        <v>0.49</v>
      </c>
      <c r="F101" s="6">
        <f t="shared" si="16"/>
        <v>220</v>
      </c>
      <c r="G101" s="6" t="str">
        <f t="shared" si="17"/>
        <v>high</v>
      </c>
      <c r="H101">
        <v>0</v>
      </c>
      <c r="I101">
        <f t="shared" si="18"/>
        <v>0</v>
      </c>
      <c r="J101" t="s">
        <v>328</v>
      </c>
      <c r="K101" t="str">
        <f t="shared" si="19"/>
        <v>Not Provided</v>
      </c>
    </row>
    <row r="102" spans="1:11" x14ac:dyDescent="0.35">
      <c r="A102" t="s">
        <v>154</v>
      </c>
      <c r="B102" s="6">
        <v>199</v>
      </c>
      <c r="C102" s="6">
        <v>504</v>
      </c>
      <c r="D102" s="4">
        <f t="shared" si="15"/>
        <v>0.60515873015873012</v>
      </c>
      <c r="E102" s="1">
        <v>0.61</v>
      </c>
      <c r="F102" s="6">
        <f t="shared" si="16"/>
        <v>305</v>
      </c>
      <c r="G102" s="6" t="str">
        <f t="shared" si="17"/>
        <v>high</v>
      </c>
      <c r="H102">
        <v>0</v>
      </c>
      <c r="I102">
        <f t="shared" si="18"/>
        <v>0</v>
      </c>
      <c r="J102" t="s">
        <v>328</v>
      </c>
      <c r="K102" t="str">
        <f t="shared" si="19"/>
        <v>Not Provided</v>
      </c>
    </row>
    <row r="103" spans="1:11" x14ac:dyDescent="0.35">
      <c r="A103" t="s">
        <v>316</v>
      </c>
      <c r="B103" s="6">
        <v>199</v>
      </c>
      <c r="C103" s="6">
        <v>553</v>
      </c>
      <c r="D103" s="4">
        <f t="shared" si="15"/>
        <v>0.64014466546112114</v>
      </c>
      <c r="E103" s="1">
        <v>0.64</v>
      </c>
      <c r="F103" s="6">
        <f t="shared" si="16"/>
        <v>354</v>
      </c>
      <c r="G103" s="6" t="str">
        <f t="shared" si="17"/>
        <v>high</v>
      </c>
      <c r="H103">
        <v>0</v>
      </c>
      <c r="I103">
        <f t="shared" si="18"/>
        <v>0</v>
      </c>
      <c r="J103" t="s">
        <v>328</v>
      </c>
      <c r="K103" t="str">
        <f t="shared" si="19"/>
        <v>Not Provided</v>
      </c>
    </row>
    <row r="104" spans="1:11" x14ac:dyDescent="0.35">
      <c r="A104" t="s">
        <v>304</v>
      </c>
      <c r="B104" s="6">
        <v>198</v>
      </c>
      <c r="C104" s="6">
        <v>260</v>
      </c>
      <c r="D104" s="4">
        <f t="shared" si="15"/>
        <v>0.23846153846153847</v>
      </c>
      <c r="E104" s="1">
        <v>0.24</v>
      </c>
      <c r="F104" s="6">
        <f t="shared" si="16"/>
        <v>62</v>
      </c>
      <c r="G104" s="6" t="str">
        <f t="shared" si="17"/>
        <v>Medium</v>
      </c>
      <c r="H104">
        <v>0</v>
      </c>
      <c r="I104">
        <f t="shared" si="18"/>
        <v>0</v>
      </c>
      <c r="J104" t="s">
        <v>328</v>
      </c>
      <c r="K104" t="str">
        <f t="shared" si="19"/>
        <v>Not Provided</v>
      </c>
    </row>
    <row r="105" spans="1:11" x14ac:dyDescent="0.35">
      <c r="A105" t="s">
        <v>60</v>
      </c>
      <c r="B105" s="6">
        <v>195</v>
      </c>
      <c r="C105" s="6">
        <v>360</v>
      </c>
      <c r="D105" s="4">
        <f t="shared" si="15"/>
        <v>0.45833333333333331</v>
      </c>
      <c r="E105" s="1">
        <v>0.46</v>
      </c>
      <c r="F105" s="6">
        <f t="shared" si="16"/>
        <v>165</v>
      </c>
      <c r="G105" s="6" t="str">
        <f t="shared" si="17"/>
        <v>high</v>
      </c>
      <c r="H105">
        <v>-2</v>
      </c>
      <c r="I105">
        <f t="shared" si="18"/>
        <v>2</v>
      </c>
      <c r="J105">
        <v>5</v>
      </c>
      <c r="K105" t="str">
        <f t="shared" si="19"/>
        <v>Excellent</v>
      </c>
    </row>
    <row r="106" spans="1:11" x14ac:dyDescent="0.35">
      <c r="A106" t="s">
        <v>102</v>
      </c>
      <c r="B106" s="6">
        <v>185</v>
      </c>
      <c r="C106" s="6">
        <v>382</v>
      </c>
      <c r="D106" s="4">
        <f t="shared" si="15"/>
        <v>0.51570680628272247</v>
      </c>
      <c r="E106" s="1">
        <v>0.52</v>
      </c>
      <c r="F106" s="6">
        <f t="shared" si="16"/>
        <v>197</v>
      </c>
      <c r="G106" s="6" t="str">
        <f t="shared" si="17"/>
        <v>high</v>
      </c>
      <c r="H106">
        <v>-9</v>
      </c>
      <c r="I106">
        <f t="shared" si="18"/>
        <v>9</v>
      </c>
      <c r="J106">
        <v>4.3</v>
      </c>
      <c r="K106" t="str">
        <f t="shared" si="19"/>
        <v>Average</v>
      </c>
    </row>
    <row r="107" spans="1:11" x14ac:dyDescent="0.35">
      <c r="A107" t="s">
        <v>120</v>
      </c>
      <c r="B107" s="6">
        <v>171</v>
      </c>
      <c r="C107" s="6">
        <v>360</v>
      </c>
      <c r="D107" s="4">
        <f t="shared" si="15"/>
        <v>0.52500000000000002</v>
      </c>
      <c r="E107" s="1">
        <v>0.53</v>
      </c>
      <c r="F107" s="6">
        <f t="shared" si="16"/>
        <v>189</v>
      </c>
      <c r="G107" s="6" t="str">
        <f t="shared" si="17"/>
        <v>high</v>
      </c>
      <c r="H107">
        <v>-2</v>
      </c>
      <c r="I107">
        <f t="shared" si="18"/>
        <v>2</v>
      </c>
      <c r="J107">
        <v>5</v>
      </c>
      <c r="K107" t="str">
        <f t="shared" si="19"/>
        <v>Excellent</v>
      </c>
    </row>
    <row r="108" spans="1:11" x14ac:dyDescent="0.35">
      <c r="A108" t="s">
        <v>320</v>
      </c>
      <c r="B108" s="6">
        <v>169</v>
      </c>
      <c r="C108" s="6">
        <v>320</v>
      </c>
      <c r="D108" s="4">
        <f t="shared" si="15"/>
        <v>0.47187499999999999</v>
      </c>
      <c r="E108" s="1">
        <v>0.47</v>
      </c>
      <c r="F108" s="6">
        <f t="shared" si="16"/>
        <v>151</v>
      </c>
      <c r="G108" s="6" t="str">
        <f t="shared" si="17"/>
        <v>high</v>
      </c>
      <c r="H108">
        <v>0</v>
      </c>
      <c r="I108">
        <f t="shared" si="18"/>
        <v>0</v>
      </c>
      <c r="J108" t="s">
        <v>328</v>
      </c>
      <c r="K108" t="str">
        <f t="shared" si="19"/>
        <v>Not Provided</v>
      </c>
    </row>
    <row r="109" spans="1:11" x14ac:dyDescent="0.35">
      <c r="A109" t="s">
        <v>274</v>
      </c>
      <c r="B109" s="6">
        <v>105</v>
      </c>
      <c r="C109" s="6">
        <v>200</v>
      </c>
      <c r="D109" s="4">
        <f t="shared" si="15"/>
        <v>0.47499999999999998</v>
      </c>
      <c r="E109" s="1">
        <v>0.48</v>
      </c>
      <c r="F109" s="6">
        <f t="shared" si="16"/>
        <v>95</v>
      </c>
      <c r="G109" s="6" t="str">
        <f t="shared" si="17"/>
        <v>high</v>
      </c>
      <c r="H109">
        <v>0</v>
      </c>
      <c r="I109">
        <f t="shared" si="18"/>
        <v>0</v>
      </c>
      <c r="J109" t="s">
        <v>328</v>
      </c>
      <c r="K109" t="str">
        <f t="shared" si="19"/>
        <v>Not Provided</v>
      </c>
    </row>
    <row r="110" spans="1:11" x14ac:dyDescent="0.35">
      <c r="A110" t="s">
        <v>71</v>
      </c>
      <c r="B110" s="6">
        <v>38</v>
      </c>
      <c r="C110" s="6">
        <v>80</v>
      </c>
      <c r="D110" s="4">
        <f t="shared" si="15"/>
        <v>0.52500000000000002</v>
      </c>
      <c r="E110" s="1">
        <v>0.53</v>
      </c>
      <c r="F110" s="6">
        <f t="shared" si="16"/>
        <v>42</v>
      </c>
      <c r="G110" s="6" t="str">
        <f t="shared" si="17"/>
        <v>high</v>
      </c>
      <c r="H110">
        <v>-13</v>
      </c>
      <c r="I110">
        <f t="shared" si="18"/>
        <v>13</v>
      </c>
      <c r="J110">
        <v>3.3</v>
      </c>
      <c r="K110" t="str">
        <f t="shared" si="19"/>
        <v>Average</v>
      </c>
    </row>
    <row r="111" spans="1:11" hidden="1" x14ac:dyDescent="0.35">
      <c r="D111"/>
      <c r="G111" s="6" t="str">
        <f t="shared" ref="G111:G115" si="20">IF(D111&lt;20%, "Low", IF(D111&lt;=40%, "Medium","high"))</f>
        <v>Low</v>
      </c>
    </row>
    <row r="112" spans="1:11" hidden="1" x14ac:dyDescent="0.35">
      <c r="D112"/>
      <c r="G112" s="6" t="str">
        <f t="shared" si="20"/>
        <v>Low</v>
      </c>
    </row>
    <row r="113" spans="4:7" hidden="1" x14ac:dyDescent="0.35">
      <c r="D113"/>
      <c r="G113" s="6" t="str">
        <f t="shared" si="20"/>
        <v>Low</v>
      </c>
    </row>
    <row r="114" spans="4:7" hidden="1" x14ac:dyDescent="0.35">
      <c r="D114"/>
      <c r="G114" s="6" t="str">
        <f t="shared" si="20"/>
        <v>Low</v>
      </c>
    </row>
    <row r="115" spans="4:7" hidden="1" x14ac:dyDescent="0.35">
      <c r="D115"/>
      <c r="G115" s="6" t="str">
        <f t="shared" si="20"/>
        <v>Low</v>
      </c>
    </row>
  </sheetData>
  <autoFilter ref="D1:D115">
    <filterColumn colId="0">
      <customFilters>
        <customFilter operator="notEqual" val=" "/>
      </customFilters>
    </filterColumn>
  </autoFilter>
  <sortState ref="A2:K110">
    <sortCondition descending="1" ref="B1"/>
  </sortState>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 workbookViewId="0">
      <selection activeCell="N61" sqref="N61"/>
    </sheetView>
  </sheetViews>
  <sheetFormatPr defaultRowHeight="14.5" x14ac:dyDescent="0.35"/>
  <cols>
    <col min="1" max="16384" width="8.7265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6"/>
  <sheetViews>
    <sheetView workbookViewId="0">
      <selection activeCell="D23" sqref="D23"/>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Average current price,rating..</vt:lpstr>
      <vt:lpstr>Avg Rating,disc,disc category</vt:lpstr>
      <vt:lpstr>Products Distribution</vt:lpstr>
      <vt:lpstr>Rating.Reviews</vt:lpstr>
      <vt:lpstr>Discounts.customer Engagement</vt:lpstr>
      <vt:lpstr>expensive.least esxpensive</vt:lpstr>
      <vt:lpstr>Disc%.No of Reviews</vt:lpstr>
      <vt:lpstr>top highest discount</vt:lpstr>
      <vt:lpstr> 10 top products most review</vt:lpstr>
      <vt:lpstr>Top5 highest rated</vt:lpstr>
      <vt:lpstr>Bottom 5 rated</vt:lpstr>
      <vt:lpstr>compare.high.low.disc</vt:lpstr>
      <vt:lpstr>total no of products</vt:lpstr>
      <vt:lpstr>Average Discount</vt:lpstr>
      <vt:lpstr>Average Rating </vt:lpstr>
      <vt:lpstr>total number of reviews</vt:lpstr>
      <vt:lpstr>Top Products by rating</vt:lpstr>
      <vt:lpstr>product.rating category</vt:lpstr>
      <vt:lpstr>Products.disc category</vt:lpstr>
      <vt:lpstr>jumia assign done</vt:lpstr>
      <vt:lpstr>Dashboard</vt:lpstr>
      <vt:lpstr>original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Windows User</cp:lastModifiedBy>
  <dcterms:created xsi:type="dcterms:W3CDTF">2026-01-30T12:02:12Z</dcterms:created>
  <dcterms:modified xsi:type="dcterms:W3CDTF">2026-02-01T10:30:09Z</dcterms:modified>
</cp:coreProperties>
</file>